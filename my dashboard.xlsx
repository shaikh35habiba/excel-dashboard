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24226"/>
  <mc:AlternateContent xmlns:mc="http://schemas.openxmlformats.org/markup-compatibility/2006">
    <mc:Choice Requires="x15">
      <x15ac:absPath xmlns:x15ac="http://schemas.microsoft.com/office/spreadsheetml/2010/11/ac" url="https://d.docs.live.net/b2b7240bc505f05e/Documents/"/>
    </mc:Choice>
  </mc:AlternateContent>
  <xr:revisionPtr revIDLastSave="20" documentId="13_ncr:1_{4C250A22-B405-40B5-9791-50FEC6C26420}" xr6:coauthVersionLast="47" xr6:coauthVersionMax="47" xr10:uidLastSave="{92BDDB67-DC0B-4CC1-873A-DC1B988B2859}"/>
  <bookViews>
    <workbookView xWindow="-108" yWindow="-108" windowWidth="23256" windowHeight="13176" xr2:uid="{00000000-000D-0000-FFFF-FFFF00000000}"/>
  </bookViews>
  <sheets>
    <sheet name="dashboardd" sheetId="6" r:id="rId1"/>
    <sheet name="PIVOT TABLES" sheetId="2" r:id="rId2"/>
    <sheet name="DATA" sheetId="1" r:id="rId3"/>
  </sheets>
  <definedNames>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 r="B10" i="2"/>
</calcChain>
</file>

<file path=xl/sharedStrings.xml><?xml version="1.0" encoding="utf-8"?>
<sst xmlns="http://schemas.openxmlformats.org/spreadsheetml/2006/main" count="603" uniqueCount="78">
  <si>
    <t>Year</t>
  </si>
  <si>
    <t>Month</t>
  </si>
  <si>
    <t>Product Name</t>
  </si>
  <si>
    <t>Category</t>
  </si>
  <si>
    <t>State</t>
  </si>
  <si>
    <t>Customer Name</t>
  </si>
  <si>
    <t>Sales ($)</t>
  </si>
  <si>
    <t>Profit ($)</t>
  </si>
  <si>
    <t>Customer Count</t>
  </si>
  <si>
    <t>April</t>
  </si>
  <si>
    <t>March</t>
  </si>
  <si>
    <t>February</t>
  </si>
  <si>
    <t>January</t>
  </si>
  <si>
    <t>September</t>
  </si>
  <si>
    <t>July</t>
  </si>
  <si>
    <t>November</t>
  </si>
  <si>
    <t>June</t>
  </si>
  <si>
    <t>May</t>
  </si>
  <si>
    <t>December</t>
  </si>
  <si>
    <t>October</t>
  </si>
  <si>
    <t>August</t>
  </si>
  <si>
    <t>IT Strategy Planning</t>
  </si>
  <si>
    <t>AWS S3 Storage Plan</t>
  </si>
  <si>
    <t>SAP Business One</t>
  </si>
  <si>
    <t>Server Maintenance Contract</t>
  </si>
  <si>
    <t>IT Helpdesk Subscription</t>
  </si>
  <si>
    <t>Dell Latitude 5420 Laptop</t>
  </si>
  <si>
    <t>Dropbox Business Plan</t>
  </si>
  <si>
    <t>HP ProDesk 600 Desktop</t>
  </si>
  <si>
    <t>IBM Cloud Hosting</t>
  </si>
  <si>
    <t>Cisco Catalyst Switch</t>
  </si>
  <si>
    <t>Infrastructure Consulting</t>
  </si>
  <si>
    <t>Security Patch Service</t>
  </si>
  <si>
    <t>AutoCAD License</t>
  </si>
  <si>
    <t>QuickBooks Enterprise</t>
  </si>
  <si>
    <t>Microsoft Azure VM</t>
  </si>
  <si>
    <t>Digital Transformation Advisory</t>
  </si>
  <si>
    <t>Adobe Creative Cloud</t>
  </si>
  <si>
    <t>Onsite Hardware Repair</t>
  </si>
  <si>
    <t>Lenovo ThinkPad X1</t>
  </si>
  <si>
    <t>Microsoft Office 365</t>
  </si>
  <si>
    <t>Cybersecurity Audit</t>
  </si>
  <si>
    <t>Dell PowerEdge Server</t>
  </si>
  <si>
    <t>Cloud Migration Service</t>
  </si>
  <si>
    <t>Network Troubleshooting</t>
  </si>
  <si>
    <t>Google Cloud SQL</t>
  </si>
  <si>
    <t>Consulting</t>
  </si>
  <si>
    <t>Cloud</t>
  </si>
  <si>
    <t>Software</t>
  </si>
  <si>
    <t>Support</t>
  </si>
  <si>
    <t>Hardware</t>
  </si>
  <si>
    <t>New York</t>
  </si>
  <si>
    <t>Texas</t>
  </si>
  <si>
    <t>Georgia</t>
  </si>
  <si>
    <t>California</t>
  </si>
  <si>
    <t>Colorado</t>
  </si>
  <si>
    <t>Florida</t>
  </si>
  <si>
    <t>Virginia</t>
  </si>
  <si>
    <t>Washington</t>
  </si>
  <si>
    <t>Massachusetts</t>
  </si>
  <si>
    <t>Illinois</t>
  </si>
  <si>
    <t>Row Labels</t>
  </si>
  <si>
    <t>Grand Total</t>
  </si>
  <si>
    <t>Sum of Profit ($)</t>
  </si>
  <si>
    <t>Sum of Sales ($)</t>
  </si>
  <si>
    <t>Sum of Customer Count</t>
  </si>
  <si>
    <t>Saniya</t>
  </si>
  <si>
    <t>rohit</t>
  </si>
  <si>
    <t>robert</t>
  </si>
  <si>
    <t>robin</t>
  </si>
  <si>
    <t>kehkashan</t>
  </si>
  <si>
    <t>swati</t>
  </si>
  <si>
    <t>rubi</t>
  </si>
  <si>
    <t>Ainstin</t>
  </si>
  <si>
    <t>Abdul kalam</t>
  </si>
  <si>
    <t>modi</t>
  </si>
  <si>
    <t>abdul kalam</t>
  </si>
  <si>
    <t>sakib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</si>
</sst>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0" fontId="0" fillId="0" borderId="0" xfId="0" applyNumberFormat="1"/>
  </cellXfs>
  <cellStyles count="1">
    <cellStyle name="Normal" xfId="0" builtinId="0"/>
  </cellStyles>
  <dxfs count="8">
    <dxf>
      <fill>
        <patternFill>
          <bgColor theme="1"/>
        </patternFill>
      </fill>
    </dxf>
    <dxf>
      <font>
        <color theme="0"/>
      </font>
    </dxf>
    <dxf>
      <fill>
        <patternFill>
          <bgColor theme="0"/>
        </patternFill>
      </fill>
    </dxf>
    <dxf>
      <fill>
        <patternFill>
          <bgColor theme="1" tint="4.9989318521683403E-2"/>
        </patternFill>
      </fill>
    </dxf>
    <dxf>
      <fill>
        <gradientFill degree="90">
          <stop position="0">
            <color theme="1"/>
          </stop>
          <stop position="1">
            <color theme="0"/>
          </stop>
        </gradientFill>
      </fill>
    </dxf>
    <dxf>
      <fill>
        <patternFill>
          <bgColor theme="1" tint="4.9989318521683403E-2"/>
        </patternFill>
      </fill>
    </dxf>
    <dxf>
      <fill>
        <patternFill>
          <bgColor theme="7" tint="-0.24994659260841701"/>
        </patternFill>
      </fill>
    </dxf>
    <dxf>
      <fill>
        <patternFill>
          <bgColor rgb="FF9A2A87"/>
        </patternFill>
      </fill>
    </dxf>
  </dxfs>
  <tableStyles count="8" defaultTableStyle="TableStyleMedium9" defaultPivotStyle="PivotStyleLight16">
    <tableStyle name="Slicer Style 1" pivot="0" table="0" count="1" xr9:uid="{E842645D-BF55-4C64-BB78-E4F3DFA4B6DB}">
      <tableStyleElement type="wholeTable" dxfId="7"/>
    </tableStyle>
    <tableStyle name="Slicer Style 2" pivot="0" table="0" count="2" xr9:uid="{48FC308A-3550-4153-A503-069BBE106A77}">
      <tableStyleElement type="headerRow" dxfId="6"/>
    </tableStyle>
    <tableStyle name="Slicer Style 3" pivot="0" table="0" count="1" xr9:uid="{6969755A-2712-4335-AB2E-8E9C281CC645}">
      <tableStyleElement type="wholeTable" dxfId="5"/>
    </tableStyle>
    <tableStyle name="Slicer Style 4" pivot="0" table="0" count="1" xr9:uid="{687DE2C7-78C8-4117-A917-63F9BF78D713}">
      <tableStyleElement type="wholeTable" dxfId="4"/>
    </tableStyle>
    <tableStyle name="Slicer Style 5" pivot="0" table="0" count="1" xr9:uid="{6905B639-1480-464F-9150-8D3C29716411}">
      <tableStyleElement type="headerRow" dxfId="3"/>
    </tableStyle>
    <tableStyle name="Slicer Style 6" pivot="0" table="0" count="2" xr9:uid="{B1CC54DE-B8E1-44B6-95E3-0A0D248E5828}">
      <tableStyleElement type="headerRow" dxfId="2"/>
    </tableStyle>
    <tableStyle name="Slicer Style 7" pivot="0" table="0" count="1" xr9:uid="{97CD6438-7FAD-401C-9740-BCEBE3D3ECC0}">
      <tableStyleElement type="wholeTable" dxfId="1"/>
    </tableStyle>
    <tableStyle name="Slicer Style 8" pivot="0" table="0" count="2" xr9:uid="{355B9F27-9C9E-432C-9723-F4B0D1F84489}">
      <tableStyleElement type="headerRow" dxfId="0"/>
    </tableStyle>
  </tableStyles>
  <colors>
    <mruColors>
      <color rgb="FF9A2A87"/>
    </mruColors>
  </colors>
  <extLst>
    <ext xmlns:x14="http://schemas.microsoft.com/office/spreadsheetml/2009/9/main" uri="{46F421CA-312F-682f-3DD2-61675219B42D}">
      <x14:dxfs count="3">
        <dxf>
          <fill>
            <patternFill>
              <bgColor theme="0"/>
            </patternFill>
          </fill>
        </dxf>
        <dxf>
          <fill>
            <patternFill>
              <bgColor theme="1" tint="4.9989318521683403E-2"/>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 name="Slicer Style 4"/>
        <x14:slicerStyle name="Slicer Style 5"/>
        <x14:slicerStyle name="Slicer Style 6">
          <x14:slicerStyleElements>
            <x14:slicerStyleElement type="selectedItemWithData" dxfId="1"/>
          </x14:slicerStyleElements>
        </x14:slicerStyle>
        <x14:slicerStyle name="Slicer Style 7"/>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BY PRODUCT</a:t>
            </a:r>
          </a:p>
        </c:rich>
      </c:tx>
      <c:layout>
        <c:manualLayout>
          <c:xMode val="edge"/>
          <c:yMode val="edge"/>
          <c:x val="0.41921699587503641"/>
          <c:y val="6.89657555002137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8000">
                <a:schemeClr val="accent4">
                  <a:lumMod val="50000"/>
                </a:schemeClr>
              </a:gs>
              <a:gs pos="35000">
                <a:schemeClr val="bg2">
                  <a:lumMod val="75000"/>
                </a:schemeClr>
              </a:gs>
            </a:gsLst>
            <a:lin ang="5400000" scaled="1"/>
          </a:grad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88000">
                <a:schemeClr val="accent4">
                  <a:lumMod val="50000"/>
                </a:schemeClr>
              </a:gs>
              <a:gs pos="35000">
                <a:schemeClr val="bg2">
                  <a:lumMod val="75000"/>
                </a:schemeClr>
              </a:gs>
            </a:gsLst>
            <a:lin ang="5400000" scaled="1"/>
          </a:grad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70000">
                <a:schemeClr val="accent5">
                  <a:lumMod val="40000"/>
                  <a:lumOff val="60000"/>
                </a:schemeClr>
              </a:gs>
              <a:gs pos="46000">
                <a:schemeClr val="tx2">
                  <a:lumMod val="60000"/>
                  <a:lumOff val="40000"/>
                </a:schemeClr>
              </a:gs>
              <a:gs pos="20000">
                <a:schemeClr val="accent4">
                  <a:lumMod val="60000"/>
                  <a:lumOff val="40000"/>
                </a:schemeClr>
              </a:gs>
            </a:gsLst>
            <a:lin ang="16200000" scaled="1"/>
            <a:tileRect/>
          </a:gradFill>
          <a:ln w="28575">
            <a:solidFill>
              <a:schemeClr val="tx1"/>
            </a:solidFill>
          </a:ln>
          <a:effectLst>
            <a:outerShdw blurRad="50800" dist="50800" dir="5400000" algn="ctr" rotWithShape="0">
              <a:schemeClr val="tx1">
                <a:lumMod val="50000"/>
                <a:lumOff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TABLES'!$I$20</c:f>
              <c:strCache>
                <c:ptCount val="1"/>
                <c:pt idx="0">
                  <c:v>Total</c:v>
                </c:pt>
              </c:strCache>
            </c:strRef>
          </c:tx>
          <c:spPr>
            <a:gradFill flip="none" rotWithShape="1">
              <a:gsLst>
                <a:gs pos="70000">
                  <a:schemeClr val="accent5">
                    <a:lumMod val="40000"/>
                    <a:lumOff val="60000"/>
                  </a:schemeClr>
                </a:gs>
                <a:gs pos="46000">
                  <a:schemeClr val="tx2">
                    <a:lumMod val="60000"/>
                    <a:lumOff val="40000"/>
                  </a:schemeClr>
                </a:gs>
                <a:gs pos="20000">
                  <a:schemeClr val="accent4">
                    <a:lumMod val="60000"/>
                    <a:lumOff val="40000"/>
                  </a:schemeClr>
                </a:gs>
              </a:gsLst>
              <a:lin ang="16200000" scaled="1"/>
              <a:tileRect/>
            </a:gradFill>
            <a:ln w="28575">
              <a:solidFill>
                <a:schemeClr val="tx1"/>
              </a:solidFill>
            </a:ln>
            <a:effectLst>
              <a:outerShdw blurRad="50800" dist="50800" dir="5400000" algn="ctr" rotWithShape="0">
                <a:schemeClr val="tx1">
                  <a:lumMod val="50000"/>
                  <a:lumOff val="50000"/>
                </a:schemeClr>
              </a:outerShdw>
            </a:effectLst>
          </c:spPr>
          <c:cat>
            <c:strRef>
              <c:f>'PIVOT TABLES'!$H$21:$H$46</c:f>
              <c:strCache>
                <c:ptCount val="25"/>
                <c:pt idx="0">
                  <c:v>Adobe Creative Cloud</c:v>
                </c:pt>
                <c:pt idx="1">
                  <c:v>AutoCAD License</c:v>
                </c:pt>
                <c:pt idx="2">
                  <c:v>AWS S3 Storage Plan</c:v>
                </c:pt>
                <c:pt idx="3">
                  <c:v>Cisco Catalyst Switch</c:v>
                </c:pt>
                <c:pt idx="4">
                  <c:v>Cloud Migration Service</c:v>
                </c:pt>
                <c:pt idx="5">
                  <c:v>Cybersecurity Audit</c:v>
                </c:pt>
                <c:pt idx="6">
                  <c:v>Dell Latitude 5420 Laptop</c:v>
                </c:pt>
                <c:pt idx="7">
                  <c:v>Dell PowerEdge Server</c:v>
                </c:pt>
                <c:pt idx="8">
                  <c:v>Digital Transformation Advisory</c:v>
                </c:pt>
                <c:pt idx="9">
                  <c:v>Dropbox Business Plan</c:v>
                </c:pt>
                <c:pt idx="10">
                  <c:v>Google Cloud SQL</c:v>
                </c:pt>
                <c:pt idx="11">
                  <c:v>HP ProDesk 600 Desktop</c:v>
                </c:pt>
                <c:pt idx="12">
                  <c:v>IBM Cloud Hosting</c:v>
                </c:pt>
                <c:pt idx="13">
                  <c:v>Infrastructure Consulting</c:v>
                </c:pt>
                <c:pt idx="14">
                  <c:v>IT Helpdesk Subscription</c:v>
                </c:pt>
                <c:pt idx="15">
                  <c:v>IT Strategy Planning</c:v>
                </c:pt>
                <c:pt idx="16">
                  <c:v>Lenovo ThinkPad X1</c:v>
                </c:pt>
                <c:pt idx="17">
                  <c:v>Microsoft Azure VM</c:v>
                </c:pt>
                <c:pt idx="18">
                  <c:v>Microsoft Office 365</c:v>
                </c:pt>
                <c:pt idx="19">
                  <c:v>Network Troubleshooting</c:v>
                </c:pt>
                <c:pt idx="20">
                  <c:v>Onsite Hardware Repair</c:v>
                </c:pt>
                <c:pt idx="21">
                  <c:v>QuickBooks Enterprise</c:v>
                </c:pt>
                <c:pt idx="22">
                  <c:v>SAP Business One</c:v>
                </c:pt>
                <c:pt idx="23">
                  <c:v>Security Patch Service</c:v>
                </c:pt>
                <c:pt idx="24">
                  <c:v>Server Maintenance Contract</c:v>
                </c:pt>
              </c:strCache>
            </c:strRef>
          </c:cat>
          <c:val>
            <c:numRef>
              <c:f>'PIVOT TABLES'!$I$21:$I$46</c:f>
              <c:numCache>
                <c:formatCode>General</c:formatCode>
                <c:ptCount val="25"/>
                <c:pt idx="0">
                  <c:v>166222.04</c:v>
                </c:pt>
                <c:pt idx="1">
                  <c:v>124408.62999999999</c:v>
                </c:pt>
                <c:pt idx="2">
                  <c:v>189173.26</c:v>
                </c:pt>
                <c:pt idx="3">
                  <c:v>91957.87999999999</c:v>
                </c:pt>
                <c:pt idx="4">
                  <c:v>145259.72</c:v>
                </c:pt>
                <c:pt idx="5">
                  <c:v>114024.48999999999</c:v>
                </c:pt>
                <c:pt idx="6">
                  <c:v>111204.18</c:v>
                </c:pt>
                <c:pt idx="7">
                  <c:v>118308.19</c:v>
                </c:pt>
                <c:pt idx="8">
                  <c:v>159168.97999999998</c:v>
                </c:pt>
                <c:pt idx="9">
                  <c:v>149902.5</c:v>
                </c:pt>
                <c:pt idx="10">
                  <c:v>40598.089999999997</c:v>
                </c:pt>
                <c:pt idx="11">
                  <c:v>39167.050000000003</c:v>
                </c:pt>
                <c:pt idx="12">
                  <c:v>73722.709999999992</c:v>
                </c:pt>
                <c:pt idx="13">
                  <c:v>81832.710000000006</c:v>
                </c:pt>
                <c:pt idx="14">
                  <c:v>141679.93</c:v>
                </c:pt>
                <c:pt idx="15">
                  <c:v>48201.270000000004</c:v>
                </c:pt>
                <c:pt idx="16">
                  <c:v>99641.11</c:v>
                </c:pt>
                <c:pt idx="17">
                  <c:v>47969.58</c:v>
                </c:pt>
                <c:pt idx="18">
                  <c:v>160961.04999999999</c:v>
                </c:pt>
                <c:pt idx="19">
                  <c:v>86961.239999999991</c:v>
                </c:pt>
                <c:pt idx="20">
                  <c:v>197682.52000000002</c:v>
                </c:pt>
                <c:pt idx="21">
                  <c:v>62583.659999999996</c:v>
                </c:pt>
                <c:pt idx="22">
                  <c:v>159909.31</c:v>
                </c:pt>
                <c:pt idx="23">
                  <c:v>52311</c:v>
                </c:pt>
                <c:pt idx="24">
                  <c:v>167155.88</c:v>
                </c:pt>
              </c:numCache>
            </c:numRef>
          </c:val>
          <c:extLst>
            <c:ext xmlns:c16="http://schemas.microsoft.com/office/drawing/2014/chart" uri="{C3380CC4-5D6E-409C-BE32-E72D297353CC}">
              <c16:uniqueId val="{00000000-568E-4227-921F-A615FF6C3566}"/>
            </c:ext>
          </c:extLst>
        </c:ser>
        <c:dLbls>
          <c:showLegendKey val="0"/>
          <c:showVal val="0"/>
          <c:showCatName val="0"/>
          <c:showSerName val="0"/>
          <c:showPercent val="0"/>
          <c:showBubbleSize val="0"/>
        </c:dLbls>
        <c:axId val="1804868127"/>
        <c:axId val="1804868607"/>
      </c:areaChart>
      <c:catAx>
        <c:axId val="180486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4868607"/>
        <c:crosses val="autoZero"/>
        <c:auto val="1"/>
        <c:lblAlgn val="ctr"/>
        <c:lblOffset val="100"/>
        <c:noMultiLvlLbl val="0"/>
      </c:catAx>
      <c:valAx>
        <c:axId val="1804868607"/>
        <c:scaling>
          <c:orientation val="minMax"/>
        </c:scaling>
        <c:delete val="0"/>
        <c:axPos val="l"/>
        <c:majorGridlines>
          <c:spPr>
            <a:ln w="9525" cap="flat" cmpd="sng" algn="ctr">
              <a:solidFill>
                <a:schemeClr val="accent4">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4868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TABLES!PivotTable1</c:name>
    <c:fmtId val="14"/>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b="1">
                <a:solidFill>
                  <a:schemeClr val="tx1"/>
                </a:solidFill>
              </a:rPr>
              <a:t>PROFIT BY YEAR</a:t>
            </a:r>
          </a:p>
        </c:rich>
      </c:tx>
      <c:layout>
        <c:manualLayout>
          <c:xMode val="edge"/>
          <c:yMode val="edge"/>
          <c:x val="0.65890806008916247"/>
          <c:y val="8.506399836749629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solidFill>
            <a:schemeClr val="accent1"/>
          </a:solidFill>
          <a:ln>
            <a:noFill/>
          </a:ln>
          <a:effectLst>
            <a:glow>
              <a:schemeClr val="tx2">
                <a:lumMod val="60000"/>
                <a:lumOff val="40000"/>
              </a:schemeClr>
            </a:glow>
            <a:outerShdw blurRad="50800" dist="50800" dir="5400000" algn="ctr" rotWithShape="0">
              <a:schemeClr val="tx1">
                <a:lumMod val="50000"/>
                <a:lumOff val="50000"/>
              </a:schemeClr>
            </a:outerShdw>
            <a:softEdge rad="127000"/>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a:gsLst>
              <a:gs pos="81000">
                <a:srgbClr val="9A2A87"/>
              </a:gs>
              <a:gs pos="43000">
                <a:schemeClr val="accent1">
                  <a:lumMod val="75000"/>
                </a:schemeClr>
              </a:gs>
              <a:gs pos="6000">
                <a:schemeClr val="accent2">
                  <a:lumMod val="50000"/>
                </a:schemeClr>
              </a:gs>
            </a:gsLst>
            <a:lin ang="16200000" scaled="1"/>
          </a:gradFill>
          <a:ln>
            <a:solidFill>
              <a:schemeClr val="tx1"/>
            </a:solidFill>
          </a:ln>
          <a:effectLst>
            <a:glow>
              <a:schemeClr val="tx2">
                <a:lumMod val="60000"/>
                <a:lumOff val="40000"/>
              </a:schemeClr>
            </a:glow>
            <a:outerShdw blurRad="50800" dist="50800" dir="5400000" algn="ctr" rotWithShape="0">
              <a:schemeClr val="tx1">
                <a:lumMod val="50000"/>
                <a:lumOff val="50000"/>
              </a:schemeClr>
            </a:outerShdw>
            <a:softEdge rad="127000"/>
          </a:effectLst>
          <a:scene3d>
            <a:camera prst="orthographicFront"/>
            <a:lightRig rig="brightRoom" dir="t"/>
          </a:scene3d>
          <a:sp3d prstMaterial="flat">
            <a:bevelT w="50800" h="101600" prst="angle"/>
            <a:contourClr>
              <a:srgbClr val="000000"/>
            </a:contourClr>
          </a:sp3d>
        </c:spPr>
      </c:pivotFmt>
      <c:pivotFmt>
        <c:idx val="16"/>
        <c:spPr>
          <a:gradFill flip="none" rotWithShape="1">
            <a:gsLst>
              <a:gs pos="46000">
                <a:schemeClr val="accent5">
                  <a:lumMod val="60000"/>
                  <a:lumOff val="40000"/>
                </a:schemeClr>
              </a:gs>
              <a:gs pos="76000">
                <a:schemeClr val="accent4">
                  <a:lumMod val="60000"/>
                  <a:lumOff val="40000"/>
                </a:schemeClr>
              </a:gs>
              <a:gs pos="5000">
                <a:schemeClr val="accent5">
                  <a:lumMod val="75000"/>
                </a:schemeClr>
              </a:gs>
            </a:gsLst>
            <a:lin ang="5400000" scaled="1"/>
            <a:tileRect/>
          </a:gradFill>
          <a:ln>
            <a:solidFill>
              <a:schemeClr val="tx1"/>
            </a:solidFill>
          </a:ln>
          <a:effectLst>
            <a:glow>
              <a:schemeClr val="tx2">
                <a:lumMod val="60000"/>
                <a:lumOff val="40000"/>
              </a:schemeClr>
            </a:glow>
            <a:outerShdw blurRad="50800" dist="50800" dir="5400000" algn="ctr" rotWithShape="0">
              <a:schemeClr val="tx1">
                <a:lumMod val="50000"/>
                <a:lumOff val="50000"/>
              </a:schemeClr>
            </a:outerShdw>
            <a:softEdge rad="127000"/>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TABLES'!$B$3</c:f>
              <c:strCache>
                <c:ptCount val="1"/>
                <c:pt idx="0">
                  <c:v>Total</c:v>
                </c:pt>
              </c:strCache>
            </c:strRef>
          </c:tx>
          <c:spPr>
            <a:ln>
              <a:noFill/>
            </a:ln>
            <a:effectLst>
              <a:glow>
                <a:schemeClr val="tx2">
                  <a:lumMod val="60000"/>
                  <a:lumOff val="40000"/>
                </a:schemeClr>
              </a:glow>
              <a:outerShdw blurRad="50800" dist="50800" dir="5400000" algn="ctr" rotWithShape="0">
                <a:schemeClr val="tx1">
                  <a:lumMod val="50000"/>
                  <a:lumOff val="50000"/>
                </a:schemeClr>
              </a:outerShdw>
              <a:softEdge rad="127000"/>
            </a:effectLst>
            <a:scene3d>
              <a:camera prst="orthographicFront"/>
              <a:lightRig rig="brightRoom" dir="t"/>
            </a:scene3d>
            <a:sp3d prstMaterial="flat">
              <a:bevelT w="50800" h="101600" prst="angle"/>
              <a:contourClr>
                <a:srgbClr val="000000"/>
              </a:contourClr>
            </a:sp3d>
          </c:spPr>
          <c:explosion val="3"/>
          <c:dPt>
            <c:idx val="0"/>
            <c:bubble3D val="0"/>
            <c:spPr>
              <a:gradFill>
                <a:gsLst>
                  <a:gs pos="81000">
                    <a:srgbClr val="9A2A87"/>
                  </a:gs>
                  <a:gs pos="43000">
                    <a:schemeClr val="accent1">
                      <a:lumMod val="75000"/>
                    </a:schemeClr>
                  </a:gs>
                  <a:gs pos="6000">
                    <a:schemeClr val="accent2">
                      <a:lumMod val="50000"/>
                    </a:schemeClr>
                  </a:gs>
                </a:gsLst>
                <a:lin ang="16200000" scaled="1"/>
              </a:gradFill>
              <a:ln>
                <a:solidFill>
                  <a:schemeClr val="tx1"/>
                </a:solidFill>
              </a:ln>
              <a:effectLst>
                <a:glow>
                  <a:schemeClr val="tx2">
                    <a:lumMod val="60000"/>
                    <a:lumOff val="40000"/>
                  </a:schemeClr>
                </a:glow>
                <a:outerShdw blurRad="50800" dist="50800" dir="5400000" algn="ctr" rotWithShape="0">
                  <a:schemeClr val="tx1">
                    <a:lumMod val="50000"/>
                    <a:lumOff val="50000"/>
                  </a:schemeClr>
                </a:outerShdw>
                <a:softEdge rad="127000"/>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90-4150-B280-5AED346DE158}"/>
              </c:ext>
            </c:extLst>
          </c:dPt>
          <c:dPt>
            <c:idx val="1"/>
            <c:bubble3D val="0"/>
            <c:spPr>
              <a:gradFill flip="none" rotWithShape="1">
                <a:gsLst>
                  <a:gs pos="46000">
                    <a:schemeClr val="accent5">
                      <a:lumMod val="60000"/>
                      <a:lumOff val="40000"/>
                    </a:schemeClr>
                  </a:gs>
                  <a:gs pos="76000">
                    <a:schemeClr val="accent4">
                      <a:lumMod val="60000"/>
                      <a:lumOff val="40000"/>
                    </a:schemeClr>
                  </a:gs>
                  <a:gs pos="5000">
                    <a:schemeClr val="accent5">
                      <a:lumMod val="75000"/>
                    </a:schemeClr>
                  </a:gs>
                </a:gsLst>
                <a:lin ang="5400000" scaled="1"/>
                <a:tileRect/>
              </a:gradFill>
              <a:ln>
                <a:solidFill>
                  <a:schemeClr val="tx1"/>
                </a:solidFill>
              </a:ln>
              <a:effectLst>
                <a:glow>
                  <a:schemeClr val="tx2">
                    <a:lumMod val="60000"/>
                    <a:lumOff val="40000"/>
                  </a:schemeClr>
                </a:glow>
                <a:outerShdw blurRad="50800" dist="50800" dir="5400000" algn="ctr" rotWithShape="0">
                  <a:schemeClr val="tx1">
                    <a:lumMod val="50000"/>
                    <a:lumOff val="50000"/>
                  </a:schemeClr>
                </a:outerShdw>
                <a:softEdge rad="127000"/>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90-4150-B280-5AED346DE1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2023</c:v>
                </c:pt>
                <c:pt idx="1">
                  <c:v>2024</c:v>
                </c:pt>
              </c:strCache>
            </c:strRef>
          </c:cat>
          <c:val>
            <c:numRef>
              <c:f>'PIVOT TABLES'!$B$4:$B$6</c:f>
              <c:numCache>
                <c:formatCode>General</c:formatCode>
                <c:ptCount val="2"/>
                <c:pt idx="0">
                  <c:v>157612.93999999997</c:v>
                </c:pt>
                <c:pt idx="1">
                  <c:v>100469.49999999999</c:v>
                </c:pt>
              </c:numCache>
            </c:numRef>
          </c:val>
          <c:extLst>
            <c:ext xmlns:c16="http://schemas.microsoft.com/office/drawing/2014/chart" uri="{C3380CC4-5D6E-409C-BE32-E72D297353CC}">
              <c16:uniqueId val="{00000004-A390-4150-B280-5AED346DE1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181692278084339"/>
          <c:y val="0.44705588832905885"/>
          <c:w val="0.16732272740587315"/>
          <c:h val="0.186846977516821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TABLES!PivotTable9</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tx1"/>
                </a:solidFill>
              </a:rPr>
              <a:t>SALES BY STATE</a:t>
            </a:r>
          </a:p>
        </c:rich>
      </c:tx>
      <c:layout>
        <c:manualLayout>
          <c:xMode val="edge"/>
          <c:yMode val="edge"/>
          <c:x val="0.33803419658862416"/>
          <c:y val="0.1267765046992693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3000">
                <a:schemeClr val="accent3">
                  <a:lumMod val="50000"/>
                </a:schemeClr>
              </a:gs>
              <a:gs pos="67000">
                <a:srgbClr val="92D050"/>
              </a:gs>
              <a:gs pos="36000">
                <a:srgbClr val="957586"/>
              </a:gs>
              <a:gs pos="100000">
                <a:schemeClr val="accent1">
                  <a:lumMod val="60000"/>
                  <a:lumOff val="40000"/>
                </a:schemeClr>
              </a:gs>
            </a:gsLst>
            <a:lin ang="5400000" scaled="1"/>
          </a:gradFill>
          <a:ln w="12700">
            <a:solidFill>
              <a:schemeClr val="tx1"/>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TABLES'!$F$19</c:f>
              <c:strCache>
                <c:ptCount val="1"/>
                <c:pt idx="0">
                  <c:v>Total</c:v>
                </c:pt>
              </c:strCache>
            </c:strRef>
          </c:tx>
          <c:spPr>
            <a:gradFill>
              <a:gsLst>
                <a:gs pos="13000">
                  <a:schemeClr val="accent3">
                    <a:lumMod val="50000"/>
                  </a:schemeClr>
                </a:gs>
                <a:gs pos="67000">
                  <a:srgbClr val="92D050"/>
                </a:gs>
                <a:gs pos="36000">
                  <a:srgbClr val="957586"/>
                </a:gs>
                <a:gs pos="100000">
                  <a:schemeClr val="accent1">
                    <a:lumMod val="60000"/>
                    <a:lumOff val="40000"/>
                  </a:schemeClr>
                </a:gs>
              </a:gsLst>
              <a:lin ang="5400000" scaled="1"/>
            </a:gradFill>
            <a:ln w="12700">
              <a:solidFill>
                <a:schemeClr val="tx1"/>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TABLES'!$E$20:$E$30</c:f>
              <c:strCache>
                <c:ptCount val="10"/>
                <c:pt idx="0">
                  <c:v>California</c:v>
                </c:pt>
                <c:pt idx="1">
                  <c:v>Colorado</c:v>
                </c:pt>
                <c:pt idx="2">
                  <c:v>Florida</c:v>
                </c:pt>
                <c:pt idx="3">
                  <c:v>Georgia</c:v>
                </c:pt>
                <c:pt idx="4">
                  <c:v>Illinois</c:v>
                </c:pt>
                <c:pt idx="5">
                  <c:v>Massachusetts</c:v>
                </c:pt>
                <c:pt idx="6">
                  <c:v>New York</c:v>
                </c:pt>
                <c:pt idx="7">
                  <c:v>Texas</c:v>
                </c:pt>
                <c:pt idx="8">
                  <c:v>Virginia</c:v>
                </c:pt>
                <c:pt idx="9">
                  <c:v>Washington</c:v>
                </c:pt>
              </c:strCache>
            </c:strRef>
          </c:cat>
          <c:val>
            <c:numRef>
              <c:f>'PIVOT TABLES'!$F$20:$F$30</c:f>
              <c:numCache>
                <c:formatCode>General</c:formatCode>
                <c:ptCount val="10"/>
                <c:pt idx="0">
                  <c:v>314081.98</c:v>
                </c:pt>
                <c:pt idx="1">
                  <c:v>144244.80000000002</c:v>
                </c:pt>
                <c:pt idx="2">
                  <c:v>263385.03999999998</c:v>
                </c:pt>
                <c:pt idx="3">
                  <c:v>335193.68</c:v>
                </c:pt>
                <c:pt idx="4">
                  <c:v>279701.26999999996</c:v>
                </c:pt>
                <c:pt idx="5">
                  <c:v>347730.97</c:v>
                </c:pt>
                <c:pt idx="6">
                  <c:v>288443.21000000002</c:v>
                </c:pt>
                <c:pt idx="7">
                  <c:v>132158.84</c:v>
                </c:pt>
                <c:pt idx="8">
                  <c:v>504916.76</c:v>
                </c:pt>
                <c:pt idx="9">
                  <c:v>220150.43</c:v>
                </c:pt>
              </c:numCache>
            </c:numRef>
          </c:val>
          <c:extLst>
            <c:ext xmlns:c16="http://schemas.microsoft.com/office/drawing/2014/chart" uri="{C3380CC4-5D6E-409C-BE32-E72D297353CC}">
              <c16:uniqueId val="{00000000-0887-4ED4-8BCC-AF273F5531BA}"/>
            </c:ext>
          </c:extLst>
        </c:ser>
        <c:dLbls>
          <c:dLblPos val="outEnd"/>
          <c:showLegendKey val="0"/>
          <c:showVal val="1"/>
          <c:showCatName val="0"/>
          <c:showSerName val="0"/>
          <c:showPercent val="0"/>
          <c:showBubbleSize val="0"/>
        </c:dLbls>
        <c:gapWidth val="444"/>
        <c:overlap val="-90"/>
        <c:axId val="1866324895"/>
        <c:axId val="1866321535"/>
      </c:barChart>
      <c:catAx>
        <c:axId val="1866324895"/>
        <c:scaling>
          <c:orientation val="minMax"/>
        </c:scaling>
        <c:delete val="0"/>
        <c:axPos val="b"/>
        <c:majorGridlines>
          <c:spPr>
            <a:ln w="9525" cap="flat" cmpd="sng" algn="ctr">
              <a:solidFill>
                <a:schemeClr val="tx2">
                  <a:lumMod val="40000"/>
                  <a:lumOff val="6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cap="all" spc="120" normalizeH="0" baseline="0">
                <a:solidFill>
                  <a:schemeClr val="tx1"/>
                </a:solidFill>
                <a:latin typeface="+mn-lt"/>
                <a:ea typeface="+mn-ea"/>
                <a:cs typeface="+mn-cs"/>
              </a:defRPr>
            </a:pPr>
            <a:endParaRPr lang="en-US"/>
          </a:p>
        </c:txPr>
        <c:crossAx val="1866321535"/>
        <c:crosses val="autoZero"/>
        <c:auto val="1"/>
        <c:lblAlgn val="ctr"/>
        <c:lblOffset val="100"/>
        <c:noMultiLvlLbl val="0"/>
      </c:catAx>
      <c:valAx>
        <c:axId val="1866321535"/>
        <c:scaling>
          <c:orientation val="minMax"/>
        </c:scaling>
        <c:delete val="1"/>
        <c:axPos val="l"/>
        <c:numFmt formatCode="General" sourceLinked="1"/>
        <c:majorTickMark val="none"/>
        <c:minorTickMark val="none"/>
        <c:tickLblPos val="nextTo"/>
        <c:crossAx val="186632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3313005031254"/>
          <c:y val="2.9512382039838029E-2"/>
          <c:w val="0.73297941238176034"/>
          <c:h val="0.94246970871764024"/>
        </c:manualLayout>
      </c:layout>
      <c:barChart>
        <c:barDir val="bar"/>
        <c:grouping val="stacked"/>
        <c:varyColors val="0"/>
        <c:ser>
          <c:idx val="0"/>
          <c:order val="0"/>
          <c:tx>
            <c:v>Total</c:v>
          </c:tx>
          <c:spPr>
            <a:gradFill flip="none" rotWithShape="1">
              <a:gsLst>
                <a:gs pos="91000">
                  <a:schemeClr val="accent4">
                    <a:lumMod val="60000"/>
                    <a:lumOff val="40000"/>
                  </a:schemeClr>
                </a:gs>
                <a:gs pos="43000">
                  <a:schemeClr val="accent4">
                    <a:lumMod val="75000"/>
                  </a:schemeClr>
                </a:gs>
                <a:gs pos="6000">
                  <a:schemeClr val="accent2">
                    <a:lumMod val="50000"/>
                  </a:schemeClr>
                </a:gs>
              </a:gsLst>
              <a:lin ang="10800000" scaled="1"/>
              <a:tileRect/>
            </a:gradFill>
            <a:ln w="19050">
              <a:solidFill>
                <a:schemeClr val="tx1"/>
              </a:solidFill>
            </a:ln>
            <a:effectLst/>
          </c:spPr>
          <c:invertIfNegative val="0"/>
          <c:dLbls>
            <c:dLbl>
              <c:idx val="0"/>
              <c:layout>
                <c:manualLayout>
                  <c:x val="0.1775637177975927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5A-44EC-B81F-A3B0431F70F2}"/>
                </c:ext>
              </c:extLst>
            </c:dLbl>
            <c:dLbl>
              <c:idx val="1"/>
              <c:layout>
                <c:manualLayout>
                  <c:x val="0.2099373214388349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5A-44EC-B81F-A3B0431F70F2}"/>
                </c:ext>
              </c:extLst>
            </c:dLbl>
            <c:dLbl>
              <c:idx val="2"/>
              <c:layout>
                <c:manualLayout>
                  <c:x val="0.229316151110111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5A-44EC-B81F-A3B0431F70F2}"/>
                </c:ext>
              </c:extLst>
            </c:dLbl>
            <c:dLbl>
              <c:idx val="3"/>
              <c:layout>
                <c:manualLayout>
                  <c:x val="0.3488189340829871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5A-44EC-B81F-A3B0431F70F2}"/>
                </c:ext>
              </c:extLst>
            </c:dLbl>
            <c:dLbl>
              <c:idx val="4"/>
              <c:layout>
                <c:manualLayout>
                  <c:x val="0.394036203315967"/>
                  <c:y val="-1.4969200401046526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5A-44EC-B81F-A3B0431F70F2}"/>
                </c:ext>
              </c:extLst>
            </c:dLbl>
            <c:dLbl>
              <c:idx val="5"/>
              <c:layout>
                <c:manualLayout>
                  <c:x val="0.39233482789960838"/>
                  <c:y val="-4.08255636178007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5A-44EC-B81F-A3B0431F70F2}"/>
                </c:ext>
              </c:extLst>
            </c:dLbl>
            <c:dLbl>
              <c:idx val="6"/>
              <c:layout>
                <c:manualLayout>
                  <c:x val="0.17144083097698615"/>
                  <c:y val="-4.08255636178007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5A-44EC-B81F-A3B0431F70F2}"/>
                </c:ext>
              </c:extLst>
            </c:dLbl>
            <c:dLbl>
              <c:idx val="7"/>
              <c:layout>
                <c:manualLayout>
                  <c:x val="0.1867480480285027"/>
                  <c:y val="-4.08255636178007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5A-44EC-B81F-A3B0431F70F2}"/>
                </c:ext>
              </c:extLst>
            </c:dLbl>
            <c:dLbl>
              <c:idx val="8"/>
              <c:layout>
                <c:manualLayout>
                  <c:x val="0.17450227438728941"/>
                  <c:y val="4.08255636178003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5A-44EC-B81F-A3B0431F70F2}"/>
                </c:ext>
              </c:extLst>
            </c:dLbl>
            <c:dLbl>
              <c:idx val="9"/>
              <c:layout>
                <c:manualLayout>
                  <c:x val="0.30308289762002905"/>
                  <c:y val="-3.742300100261631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5A-44EC-B81F-A3B0431F70F2}"/>
                </c:ext>
              </c:extLst>
            </c:dLbl>
            <c:dLbl>
              <c:idx val="10"/>
              <c:layout>
                <c:manualLayout>
                  <c:x val="0.24491547282426582"/>
                  <c:y val="-4.08255636178009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5A-44EC-B81F-A3B0431F70F2}"/>
                </c:ext>
              </c:extLst>
            </c:dLbl>
            <c:dLbl>
              <c:idx val="11"/>
              <c:layout>
                <c:manualLayout>
                  <c:x val="8.8781858898796362E-2"/>
                  <c:y val="-4.6778751253270394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5A-44EC-B81F-A3B0431F70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147400.78</c:v>
              </c:pt>
              <c:pt idx="1">
                <c:v>194652.64</c:v>
              </c:pt>
              <c:pt idx="2">
                <c:v>205971.97</c:v>
              </c:pt>
              <c:pt idx="3">
                <c:v>377444.82</c:v>
              </c:pt>
              <c:pt idx="4">
                <c:v>432566.44</c:v>
              </c:pt>
              <c:pt idx="5">
                <c:v>433317.72000000009</c:v>
              </c:pt>
              <c:pt idx="6">
                <c:v>135758.04999999999</c:v>
              </c:pt>
              <c:pt idx="7">
                <c:v>161001.57</c:v>
              </c:pt>
              <c:pt idx="8">
                <c:v>147256.61000000002</c:v>
              </c:pt>
              <c:pt idx="9">
                <c:v>322327.91000000003</c:v>
              </c:pt>
              <c:pt idx="10">
                <c:v>232980.97</c:v>
              </c:pt>
              <c:pt idx="11">
                <c:v>39327.5</c:v>
              </c:pt>
            </c:numLit>
          </c:val>
          <c:extLst>
            <c:ext xmlns:c16="http://schemas.microsoft.com/office/drawing/2014/chart" uri="{C3380CC4-5D6E-409C-BE32-E72D297353CC}">
              <c16:uniqueId val="{00000000-58BB-432C-94C3-AACE2029E288}"/>
            </c:ext>
          </c:extLst>
        </c:ser>
        <c:dLbls>
          <c:dLblPos val="ctr"/>
          <c:showLegendKey val="0"/>
          <c:showVal val="1"/>
          <c:showCatName val="0"/>
          <c:showSerName val="0"/>
          <c:showPercent val="0"/>
          <c:showBubbleSize val="0"/>
        </c:dLbls>
        <c:gapWidth val="79"/>
        <c:overlap val="100"/>
        <c:axId val="1818518063"/>
        <c:axId val="1818526703"/>
      </c:barChart>
      <c:catAx>
        <c:axId val="1818518063"/>
        <c:scaling>
          <c:orientation val="minMax"/>
        </c:scaling>
        <c:delete val="0"/>
        <c:axPos val="l"/>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1818526703"/>
        <c:crosses val="autoZero"/>
        <c:auto val="1"/>
        <c:lblAlgn val="ctr"/>
        <c:lblOffset val="100"/>
        <c:noMultiLvlLbl val="0"/>
      </c:catAx>
      <c:valAx>
        <c:axId val="1818526703"/>
        <c:scaling>
          <c:orientation val="minMax"/>
        </c:scaling>
        <c:delete val="1"/>
        <c:axPos val="b"/>
        <c:numFmt formatCode="General" sourceLinked="1"/>
        <c:majorTickMark val="none"/>
        <c:minorTickMark val="none"/>
        <c:tickLblPos val="nextTo"/>
        <c:crossAx val="18185180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rPr>
              <a:t>CUSTOMER COUNT BY YEAR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solidFill>
            <a:schemeClr val="tx1"/>
          </a:solidFill>
        </a:ln>
        <a:effectLst/>
        <a:sp3d>
          <a:contourClr>
            <a:schemeClr val="tx1"/>
          </a:contourClr>
        </a:sp3d>
      </c:spPr>
    </c:floor>
    <c:sideWall>
      <c:thickness val="0"/>
      <c:spPr>
        <a:noFill/>
        <a:ln>
          <a:solidFill>
            <a:schemeClr val="tx1"/>
          </a:solidFill>
        </a:ln>
        <a:effectLst/>
        <a:sp3d>
          <a:contourClr>
            <a:schemeClr val="tx1"/>
          </a:contourClr>
        </a:sp3d>
      </c:spPr>
    </c:sideWall>
    <c:backWall>
      <c:thickness val="0"/>
      <c:spPr>
        <a:noFill/>
        <a:ln>
          <a:solidFill>
            <a:schemeClr val="tx1"/>
          </a:solidFill>
        </a:ln>
        <a:effectLst/>
        <a:sp3d>
          <a:contourClr>
            <a:schemeClr val="tx1"/>
          </a:contourClr>
        </a:sp3d>
      </c:spPr>
    </c:backWall>
    <c:plotArea>
      <c:layout/>
      <c:bar3DChart>
        <c:barDir val="col"/>
        <c:grouping val="stacked"/>
        <c:varyColors val="0"/>
        <c:ser>
          <c:idx val="0"/>
          <c:order val="0"/>
          <c:tx>
            <c:v>Total</c:v>
          </c:tx>
          <c:spPr>
            <a:gradFill>
              <a:gsLst>
                <a:gs pos="0">
                  <a:schemeClr val="bg2">
                    <a:lumMod val="25000"/>
                  </a:schemeClr>
                </a:gs>
                <a:gs pos="86000">
                  <a:schemeClr val="tx2">
                    <a:lumMod val="60000"/>
                    <a:lumOff val="40000"/>
                  </a:schemeClr>
                </a:gs>
                <a:gs pos="36000">
                  <a:schemeClr val="tx2">
                    <a:lumMod val="75000"/>
                  </a:schemeClr>
                </a:gs>
              </a:gsLst>
              <a:lin ang="5400000" scaled="1"/>
            </a:gradFill>
            <a:ln w="19050">
              <a:solidFill>
                <a:schemeClr val="accent1">
                  <a:lumMod val="40000"/>
                  <a:lumOff val="60000"/>
                </a:schemeClr>
              </a:solidFill>
            </a:ln>
            <a:effectLst>
              <a:outerShdw blurRad="50800" dist="50800" dir="5400000" algn="ctr" rotWithShape="0">
                <a:schemeClr val="tx1">
                  <a:lumMod val="95000"/>
                  <a:lumOff val="5000"/>
                </a:schemeClr>
              </a:outerShdw>
            </a:effectLst>
            <a:sp3d contourW="19050">
              <a:contourClr>
                <a:schemeClr val="accent1">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2023</c:v>
              </c:pt>
              <c:pt idx="1">
                <c:v>2024</c:v>
              </c:pt>
            </c:strLit>
          </c:cat>
          <c:val>
            <c:numLit>
              <c:formatCode>General</c:formatCode>
              <c:ptCount val="2"/>
              <c:pt idx="0">
                <c:v>668</c:v>
              </c:pt>
              <c:pt idx="1">
                <c:v>415</c:v>
              </c:pt>
            </c:numLit>
          </c:val>
          <c:shape val="pyramidToMax"/>
          <c:extLst>
            <c:ext xmlns:c16="http://schemas.microsoft.com/office/drawing/2014/chart" uri="{C3380CC4-5D6E-409C-BE32-E72D297353CC}">
              <c16:uniqueId val="{00000000-828F-414D-8E06-B0DC4FAC9904}"/>
            </c:ext>
          </c:extLst>
        </c:ser>
        <c:dLbls>
          <c:showLegendKey val="0"/>
          <c:showVal val="1"/>
          <c:showCatName val="0"/>
          <c:showSerName val="0"/>
          <c:showPercent val="0"/>
          <c:showBubbleSize val="0"/>
        </c:dLbls>
        <c:gapWidth val="54"/>
        <c:gapDepth val="99"/>
        <c:shape val="pyramidToMax"/>
        <c:axId val="1804894527"/>
        <c:axId val="1804888287"/>
        <c:axId val="0"/>
      </c:bar3DChart>
      <c:catAx>
        <c:axId val="1804894527"/>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04888287"/>
        <c:crosses val="autoZero"/>
        <c:auto val="1"/>
        <c:lblAlgn val="ctr"/>
        <c:lblOffset val="100"/>
        <c:noMultiLvlLbl val="0"/>
      </c:catAx>
      <c:valAx>
        <c:axId val="1804888287"/>
        <c:scaling>
          <c:orientation val="minMax"/>
        </c:scaling>
        <c:delete val="1"/>
        <c:axPos val="l"/>
        <c:numFmt formatCode="General" sourceLinked="1"/>
        <c:majorTickMark val="none"/>
        <c:minorTickMark val="none"/>
        <c:tickLblPos val="nextTo"/>
        <c:crossAx val="180489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TABLES!PivotTable5</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SALES BY MONTH</a:t>
            </a:r>
          </a:p>
        </c:rich>
      </c:tx>
      <c:layout>
        <c:manualLayout>
          <c:xMode val="edge"/>
          <c:yMode val="edge"/>
          <c:x val="0.4899747077069912"/>
          <c:y val="7.1985232615153869E-2"/>
        </c:manualLayout>
      </c:layout>
      <c:overlay val="0"/>
      <c:spPr>
        <a:noFill/>
        <a:ln>
          <a:noFill/>
        </a:ln>
        <a:effectLst/>
      </c:sp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956770796601657"/>
              <c:y val="-8.3832335329341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4943819829922256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594254912831582"/>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0054462225678"/>
              <c:y val="-5.9880239520958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443184479119004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8568978667623062E-2"/>
              <c:y val="5.9880239520958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869223145291414"/>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8568978667623062E-2"/>
              <c:y val="5.9880239520958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869223145291414"/>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443184479119004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0054462225678"/>
              <c:y val="-5.9880239520958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594254912831582"/>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956770796601657"/>
              <c:y val="-8.3832335329341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4943819829922256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8568978667623062E-2"/>
              <c:y val="5.9880239520958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869223145291414"/>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443184479119004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0054462225678"/>
              <c:y val="-5.9880239520958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594254912831582"/>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956770796601657"/>
              <c:y val="-8.3832335329341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4943819829922256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8568978667623062E-2"/>
              <c:y val="5.9880239520958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869223145291414"/>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443184479119004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0054462225678"/>
              <c:y val="-5.9880239520958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594254912831582"/>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956770796601657"/>
              <c:y val="-8.3832335329341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4943819829922256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5.8568978667623062E-2"/>
              <c:y val="5.9880239520958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0.12869223145291414"/>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9.0443184479119004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0.1000054462225678"/>
              <c:y val="-5.9880239520958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11594254912831582"/>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10956770796601657"/>
              <c:y val="-8.3832335329341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6.4943819829922256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5.8568978667623062E-2"/>
              <c:y val="5.9880239520958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0.12869223145291414"/>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9.0443184479119004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1000054462225678"/>
              <c:y val="-5.9880239520958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11594254912831582"/>
              <c:y val="2.39520958083832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10956770796601657"/>
              <c:y val="-8.38323353293413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6.4943819829922256E-2"/>
              <c:y val="4.7904191616766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3688886055234"/>
          <c:y val="0.17493765586034912"/>
          <c:w val="0.78714865187306116"/>
          <c:h val="0.64412394211322088"/>
        </c:manualLayout>
      </c:layout>
      <c:lineChart>
        <c:grouping val="stacked"/>
        <c:varyColors val="0"/>
        <c:ser>
          <c:idx val="0"/>
          <c:order val="0"/>
          <c:tx>
            <c:strRef>
              <c:f>'PIVOT TABLES'!$O$3</c:f>
              <c:strCache>
                <c:ptCount val="1"/>
                <c:pt idx="0">
                  <c:v>Total</c:v>
                </c:pt>
              </c:strCache>
            </c:strRef>
          </c:tx>
          <c:spPr>
            <a:ln w="34925" cap="rnd">
              <a:solidFill>
                <a:schemeClr val="bg2">
                  <a:lumMod val="10000"/>
                </a:schemeClr>
              </a:solidFill>
              <a:round/>
            </a:ln>
            <a:effectLst>
              <a:outerShdw blurRad="40000" dist="23000" dir="5400000" rotWithShape="0">
                <a:srgbClr val="000000">
                  <a:alpha val="35000"/>
                </a:srgbClr>
              </a:outerShdw>
            </a:effectLst>
          </c:spPr>
          <c:marker>
            <c:symbol val="circle"/>
            <c:size val="6"/>
            <c:spPr>
              <a:solidFill>
                <a:schemeClr val="bg1"/>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bubble3D val="0"/>
            <c:extLst>
              <c:ext xmlns:c16="http://schemas.microsoft.com/office/drawing/2014/chart" uri="{C3380CC4-5D6E-409C-BE32-E72D297353CC}">
                <c16:uniqueId val="{00000000-A3AB-4225-B0DA-0151ECC398B0}"/>
              </c:ext>
            </c:extLst>
          </c:dPt>
          <c:dPt>
            <c:idx val="1"/>
            <c:bubble3D val="0"/>
            <c:extLst>
              <c:ext xmlns:c16="http://schemas.microsoft.com/office/drawing/2014/chart" uri="{C3380CC4-5D6E-409C-BE32-E72D297353CC}">
                <c16:uniqueId val="{00000001-A3AB-4225-B0DA-0151ECC398B0}"/>
              </c:ext>
            </c:extLst>
          </c:dPt>
          <c:dPt>
            <c:idx val="2"/>
            <c:bubble3D val="0"/>
            <c:extLst>
              <c:ext xmlns:c16="http://schemas.microsoft.com/office/drawing/2014/chart" uri="{C3380CC4-5D6E-409C-BE32-E72D297353CC}">
                <c16:uniqueId val="{00000002-A3AB-4225-B0DA-0151ECC398B0}"/>
              </c:ext>
            </c:extLst>
          </c:dPt>
          <c:dPt>
            <c:idx val="4"/>
            <c:bubble3D val="0"/>
            <c:extLst>
              <c:ext xmlns:c16="http://schemas.microsoft.com/office/drawing/2014/chart" uri="{C3380CC4-5D6E-409C-BE32-E72D297353CC}">
                <c16:uniqueId val="{00000003-A3AB-4225-B0DA-0151ECC398B0}"/>
              </c:ext>
            </c:extLst>
          </c:dPt>
          <c:dPt>
            <c:idx val="6"/>
            <c:bubble3D val="0"/>
            <c:extLst>
              <c:ext xmlns:c16="http://schemas.microsoft.com/office/drawing/2014/chart" uri="{C3380CC4-5D6E-409C-BE32-E72D297353CC}">
                <c16:uniqueId val="{00000004-A3AB-4225-B0DA-0151ECC398B0}"/>
              </c:ext>
            </c:extLst>
          </c:dPt>
          <c:dPt>
            <c:idx val="7"/>
            <c:bubble3D val="0"/>
            <c:extLst>
              <c:ext xmlns:c16="http://schemas.microsoft.com/office/drawing/2014/chart" uri="{C3380CC4-5D6E-409C-BE32-E72D297353CC}">
                <c16:uniqueId val="{00000005-A3AB-4225-B0DA-0151ECC398B0}"/>
              </c:ext>
            </c:extLst>
          </c:dPt>
          <c:dPt>
            <c:idx val="8"/>
            <c:bubble3D val="0"/>
            <c:extLst>
              <c:ext xmlns:c16="http://schemas.microsoft.com/office/drawing/2014/chart" uri="{C3380CC4-5D6E-409C-BE32-E72D297353CC}">
                <c16:uniqueId val="{00000006-A3AB-4225-B0DA-0151ECC398B0}"/>
              </c:ext>
            </c:extLst>
          </c:dPt>
          <c:dLbls>
            <c:dLbl>
              <c:idx val="0"/>
              <c:layout>
                <c:manualLayout>
                  <c:x val="-5.8568978667623062E-2"/>
                  <c:y val="5.9880239520958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AB-4225-B0DA-0151ECC398B0}"/>
                </c:ext>
              </c:extLst>
            </c:dLbl>
            <c:dLbl>
              <c:idx val="1"/>
              <c:layout>
                <c:manualLayout>
                  <c:x val="-0.12869223145291414"/>
                  <c:y val="-2.39520958083832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AB-4225-B0DA-0151ECC398B0}"/>
                </c:ext>
              </c:extLst>
            </c:dLbl>
            <c:dLbl>
              <c:idx val="2"/>
              <c:layout>
                <c:manualLayout>
                  <c:x val="-9.0443184479119004E-2"/>
                  <c:y val="-4.7904191616766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AB-4225-B0DA-0151ECC398B0}"/>
                </c:ext>
              </c:extLst>
            </c:dLbl>
            <c:dLbl>
              <c:idx val="4"/>
              <c:layout>
                <c:manualLayout>
                  <c:x val="-0.1000054462225678"/>
                  <c:y val="-5.9880239520958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AB-4225-B0DA-0151ECC398B0}"/>
                </c:ext>
              </c:extLst>
            </c:dLbl>
            <c:dLbl>
              <c:idx val="6"/>
              <c:layout>
                <c:manualLayout>
                  <c:x val="-0.11594254912831582"/>
                  <c:y val="2.39520958083832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AB-4225-B0DA-0151ECC398B0}"/>
                </c:ext>
              </c:extLst>
            </c:dLbl>
            <c:dLbl>
              <c:idx val="7"/>
              <c:layout>
                <c:manualLayout>
                  <c:x val="-0.10956770796601657"/>
                  <c:y val="-8.38323353293413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AB-4225-B0DA-0151ECC398B0}"/>
                </c:ext>
              </c:extLst>
            </c:dLbl>
            <c:dLbl>
              <c:idx val="8"/>
              <c:layout>
                <c:manualLayout>
                  <c:x val="-6.4943819829922256E-2"/>
                  <c:y val="4.7904191616766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AB-4225-B0DA-0151ECC398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TABLES'!$N$4:$N$16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TABLES'!$O$4:$O$16</c:f>
              <c:numCache>
                <c:formatCode>General</c:formatCode>
                <c:ptCount val="12"/>
                <c:pt idx="0">
                  <c:v>147400.78</c:v>
                </c:pt>
                <c:pt idx="1">
                  <c:v>194652.64</c:v>
                </c:pt>
                <c:pt idx="2">
                  <c:v>205971.97</c:v>
                </c:pt>
                <c:pt idx="3">
                  <c:v>377444.82</c:v>
                </c:pt>
                <c:pt idx="4">
                  <c:v>432566.44</c:v>
                </c:pt>
                <c:pt idx="5">
                  <c:v>433317.72000000009</c:v>
                </c:pt>
                <c:pt idx="6">
                  <c:v>135758.04999999999</c:v>
                </c:pt>
                <c:pt idx="7">
                  <c:v>161001.57</c:v>
                </c:pt>
                <c:pt idx="8">
                  <c:v>147256.61000000002</c:v>
                </c:pt>
                <c:pt idx="9">
                  <c:v>322327.91000000003</c:v>
                </c:pt>
                <c:pt idx="10">
                  <c:v>232980.97</c:v>
                </c:pt>
                <c:pt idx="11">
                  <c:v>39327.5</c:v>
                </c:pt>
              </c:numCache>
            </c:numRef>
          </c:val>
          <c:smooth val="0"/>
          <c:extLst>
            <c:ext xmlns:c16="http://schemas.microsoft.com/office/drawing/2014/chart" uri="{C3380CC4-5D6E-409C-BE32-E72D297353CC}">
              <c16:uniqueId val="{00000007-A3AB-4225-B0DA-0151ECC398B0}"/>
            </c:ext>
          </c:extLst>
        </c:ser>
        <c:dLbls>
          <c:dLblPos val="ctr"/>
          <c:showLegendKey val="0"/>
          <c:showVal val="1"/>
          <c:showCatName val="0"/>
          <c:showSerName val="0"/>
          <c:showPercent val="0"/>
          <c:showBubbleSize val="0"/>
        </c:dLbls>
        <c:marker val="1"/>
        <c:smooth val="0"/>
        <c:axId val="1777214687"/>
        <c:axId val="1680931151"/>
      </c:lineChart>
      <c:catAx>
        <c:axId val="17772146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80931151"/>
        <c:crosses val="autoZero"/>
        <c:auto val="1"/>
        <c:lblAlgn val="ctr"/>
        <c:lblOffset val="100"/>
        <c:noMultiLvlLbl val="0"/>
      </c:catAx>
      <c:valAx>
        <c:axId val="168093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77214687"/>
        <c:crosses val="autoZero"/>
        <c:crossBetween val="between"/>
      </c:valAx>
      <c:spPr>
        <a:noFill/>
        <a:ln>
          <a:noFill/>
        </a:ln>
        <a:effectLst/>
      </c:spPr>
    </c:plotArea>
    <c:plotVisOnly val="1"/>
    <c:dispBlanksAs val="zero"/>
    <c:showDLblsOverMax val="0"/>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TABLES!PivotTable11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rPr>
              <a:t>TOP 4 CUSTOMERS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a:gsLst>
              <a:gs pos="51000">
                <a:schemeClr val="accent5">
                  <a:lumMod val="75000"/>
                </a:schemeClr>
              </a:gs>
              <a:gs pos="4000">
                <a:schemeClr val="accent4">
                  <a:lumMod val="60000"/>
                  <a:lumOff val="40000"/>
                </a:schemeClr>
              </a:gs>
            </a:gsLst>
            <a:lin ang="5400000" scaled="1"/>
          </a:gradFill>
          <a:ln>
            <a:solidFill>
              <a:schemeClr val="tx1"/>
            </a:solidFill>
          </a:ln>
          <a:effectLst>
            <a:outerShdw blurRad="50800" dist="50800" dir="5400000" algn="ctr" rotWithShape="0">
              <a:schemeClr val="tx1">
                <a:lumMod val="50000"/>
                <a:lumOff val="50000"/>
              </a:scheme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solidFill>
            <a:schemeClr val="tx1"/>
          </a:solidFill>
        </a:ln>
        <a:effectLst/>
        <a:sp3d>
          <a:contourClr>
            <a:schemeClr val="tx1"/>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TABLES'!$E$4</c:f>
              <c:strCache>
                <c:ptCount val="1"/>
                <c:pt idx="0">
                  <c:v>Total</c:v>
                </c:pt>
              </c:strCache>
            </c:strRef>
          </c:tx>
          <c:spPr>
            <a:gradFill>
              <a:gsLst>
                <a:gs pos="51000">
                  <a:schemeClr val="accent5">
                    <a:lumMod val="75000"/>
                  </a:schemeClr>
                </a:gs>
                <a:gs pos="4000">
                  <a:schemeClr val="accent4">
                    <a:lumMod val="60000"/>
                    <a:lumOff val="40000"/>
                  </a:schemeClr>
                </a:gs>
              </a:gsLst>
              <a:lin ang="5400000" scaled="1"/>
            </a:gradFill>
            <a:ln>
              <a:solidFill>
                <a:schemeClr val="tx1"/>
              </a:solidFill>
            </a:ln>
            <a:effectLst>
              <a:outerShdw blurRad="50800" dist="50800" dir="5400000" algn="ctr" rotWithShape="0">
                <a:schemeClr val="tx1">
                  <a:lumMod val="50000"/>
                  <a:lumOff val="50000"/>
                </a:schemeClr>
              </a:outerShdw>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TABLES'!$D$5:$D$9</c:f>
              <c:strCache>
                <c:ptCount val="4"/>
                <c:pt idx="0">
                  <c:v>Abdul kalam</c:v>
                </c:pt>
                <c:pt idx="1">
                  <c:v>Ainstin</c:v>
                </c:pt>
                <c:pt idx="2">
                  <c:v>modi</c:v>
                </c:pt>
                <c:pt idx="3">
                  <c:v>robin</c:v>
                </c:pt>
              </c:strCache>
            </c:strRef>
          </c:cat>
          <c:val>
            <c:numRef>
              <c:f>'PIVOT TABLES'!$E$5:$E$9</c:f>
              <c:numCache>
                <c:formatCode>General</c:formatCode>
                <c:ptCount val="4"/>
                <c:pt idx="0">
                  <c:v>29451.230000000007</c:v>
                </c:pt>
                <c:pt idx="1">
                  <c:v>41842.649999999994</c:v>
                </c:pt>
                <c:pt idx="2">
                  <c:v>45914.37000000001</c:v>
                </c:pt>
                <c:pt idx="3">
                  <c:v>26538.86</c:v>
                </c:pt>
              </c:numCache>
            </c:numRef>
          </c:val>
          <c:extLst>
            <c:ext xmlns:c16="http://schemas.microsoft.com/office/drawing/2014/chart" uri="{C3380CC4-5D6E-409C-BE32-E72D297353CC}">
              <c16:uniqueId val="{00000000-1194-4CB1-8E66-C0BB79C2DC66}"/>
            </c:ext>
          </c:extLst>
        </c:ser>
        <c:dLbls>
          <c:showLegendKey val="0"/>
          <c:showVal val="1"/>
          <c:showCatName val="0"/>
          <c:showSerName val="0"/>
          <c:showPercent val="0"/>
          <c:showBubbleSize val="0"/>
        </c:dLbls>
        <c:gapWidth val="79"/>
        <c:shape val="cylinder"/>
        <c:axId val="2091001183"/>
        <c:axId val="2090999263"/>
        <c:axId val="0"/>
      </c:bar3DChart>
      <c:catAx>
        <c:axId val="2091001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2090999263"/>
        <c:crosses val="autoZero"/>
        <c:auto val="1"/>
        <c:lblAlgn val="ctr"/>
        <c:lblOffset val="100"/>
        <c:noMultiLvlLbl val="0"/>
      </c:catAx>
      <c:valAx>
        <c:axId val="2090999263"/>
        <c:scaling>
          <c:orientation val="minMax"/>
        </c:scaling>
        <c:delete val="1"/>
        <c:axPos val="l"/>
        <c:numFmt formatCode="General" sourceLinked="1"/>
        <c:majorTickMark val="none"/>
        <c:minorTickMark val="none"/>
        <c:tickLblPos val="nextTo"/>
        <c:crossAx val="209100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microsoft.com/office/2007/relationships/hdphoto" Target="../media/hdphoto1.wdp"/><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21</xdr:col>
      <xdr:colOff>434340</xdr:colOff>
      <xdr:row>43</xdr:row>
      <xdr:rowOff>56111</xdr:rowOff>
    </xdr:to>
    <xdr:sp macro="" textlink="">
      <xdr:nvSpPr>
        <xdr:cNvPr id="2" name="Rectangle 1">
          <a:extLst>
            <a:ext uri="{FF2B5EF4-FFF2-40B4-BE49-F238E27FC236}">
              <a16:creationId xmlns:a16="http://schemas.microsoft.com/office/drawing/2014/main" id="{6FEDBF1F-002F-45AB-80DE-C5513F74F3C0}"/>
            </a:ext>
          </a:extLst>
        </xdr:cNvPr>
        <xdr:cNvSpPr/>
      </xdr:nvSpPr>
      <xdr:spPr>
        <a:xfrm>
          <a:off x="15240" y="0"/>
          <a:ext cx="13220700" cy="791995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30480</xdr:rowOff>
    </xdr:from>
    <xdr:to>
      <xdr:col>2</xdr:col>
      <xdr:colOff>60960</xdr:colOff>
      <xdr:row>5</xdr:row>
      <xdr:rowOff>47105</xdr:rowOff>
    </xdr:to>
    <xdr:sp macro="" textlink="">
      <xdr:nvSpPr>
        <xdr:cNvPr id="3" name="Rectangle: Rounded Corners 2">
          <a:extLst>
            <a:ext uri="{FF2B5EF4-FFF2-40B4-BE49-F238E27FC236}">
              <a16:creationId xmlns:a16="http://schemas.microsoft.com/office/drawing/2014/main" id="{4D30FFE2-D85A-4F25-A844-2CB5754D10F1}"/>
            </a:ext>
          </a:extLst>
        </xdr:cNvPr>
        <xdr:cNvSpPr/>
      </xdr:nvSpPr>
      <xdr:spPr>
        <a:xfrm>
          <a:off x="7620" y="30480"/>
          <a:ext cx="1272540" cy="931025"/>
        </a:xfrm>
        <a:prstGeom prst="roundRect">
          <a:avLst>
            <a:gd name="adj" fmla="val 4570"/>
          </a:avLst>
        </a:prstGeom>
        <a:gradFill>
          <a:gsLst>
            <a:gs pos="14000">
              <a:schemeClr val="accent1">
                <a:lumMod val="20000"/>
                <a:lumOff val="80000"/>
              </a:schemeClr>
            </a:gs>
            <a:gs pos="65000">
              <a:schemeClr val="accent1">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99060</xdr:colOff>
      <xdr:row>0</xdr:row>
      <xdr:rowOff>30480</xdr:rowOff>
    </xdr:from>
    <xdr:to>
      <xdr:col>21</xdr:col>
      <xdr:colOff>388620</xdr:colOff>
      <xdr:row>5</xdr:row>
      <xdr:rowOff>47105</xdr:rowOff>
    </xdr:to>
    <xdr:sp macro="" textlink="">
      <xdr:nvSpPr>
        <xdr:cNvPr id="4" name="Rectangle: Rounded Corners 3">
          <a:extLst>
            <a:ext uri="{FF2B5EF4-FFF2-40B4-BE49-F238E27FC236}">
              <a16:creationId xmlns:a16="http://schemas.microsoft.com/office/drawing/2014/main" id="{CC15C7B8-E787-4122-8762-F031DBCDBE8D}"/>
            </a:ext>
          </a:extLst>
        </xdr:cNvPr>
        <xdr:cNvSpPr/>
      </xdr:nvSpPr>
      <xdr:spPr>
        <a:xfrm>
          <a:off x="1318260" y="30480"/>
          <a:ext cx="11871960" cy="931025"/>
        </a:xfrm>
        <a:prstGeom prst="roundRect">
          <a:avLst>
            <a:gd name="adj" fmla="val 4570"/>
          </a:avLst>
        </a:prstGeom>
        <a:gradFill>
          <a:gsLst>
            <a:gs pos="0">
              <a:schemeClr val="accent1">
                <a:lumMod val="5000"/>
                <a:lumOff val="95000"/>
              </a:schemeClr>
            </a:gs>
            <a:gs pos="5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85205</xdr:rowOff>
    </xdr:from>
    <xdr:to>
      <xdr:col>2</xdr:col>
      <xdr:colOff>60960</xdr:colOff>
      <xdr:row>42</xdr:row>
      <xdr:rowOff>170411</xdr:rowOff>
    </xdr:to>
    <xdr:sp macro="" textlink="">
      <xdr:nvSpPr>
        <xdr:cNvPr id="5" name="Rectangle: Rounded Corners 4">
          <a:extLst>
            <a:ext uri="{FF2B5EF4-FFF2-40B4-BE49-F238E27FC236}">
              <a16:creationId xmlns:a16="http://schemas.microsoft.com/office/drawing/2014/main" id="{1A7A8059-5C97-41A5-92C6-470284939020}"/>
            </a:ext>
          </a:extLst>
        </xdr:cNvPr>
        <xdr:cNvSpPr/>
      </xdr:nvSpPr>
      <xdr:spPr>
        <a:xfrm>
          <a:off x="0" y="999605"/>
          <a:ext cx="1280160" cy="6851766"/>
        </a:xfrm>
        <a:prstGeom prst="roundRect">
          <a:avLst>
            <a:gd name="adj" fmla="val 457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106680</xdr:colOff>
      <xdr:row>5</xdr:row>
      <xdr:rowOff>92825</xdr:rowOff>
    </xdr:from>
    <xdr:to>
      <xdr:col>5</xdr:col>
      <xdr:colOff>175260</xdr:colOff>
      <xdr:row>9</xdr:row>
      <xdr:rowOff>162791</xdr:rowOff>
    </xdr:to>
    <xdr:sp macro="" textlink="">
      <xdr:nvSpPr>
        <xdr:cNvPr id="6" name="Rectangle: Rounded Corners 5">
          <a:extLst>
            <a:ext uri="{FF2B5EF4-FFF2-40B4-BE49-F238E27FC236}">
              <a16:creationId xmlns:a16="http://schemas.microsoft.com/office/drawing/2014/main" id="{E9F6C831-93B8-4AF7-B94C-92BC8C6936FA}"/>
            </a:ext>
          </a:extLst>
        </xdr:cNvPr>
        <xdr:cNvSpPr/>
      </xdr:nvSpPr>
      <xdr:spPr>
        <a:xfrm>
          <a:off x="1325880" y="1007225"/>
          <a:ext cx="1897380" cy="801486"/>
        </a:xfrm>
        <a:prstGeom prst="roundRect">
          <a:avLst>
            <a:gd name="adj" fmla="val 550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213360</xdr:colOff>
      <xdr:row>5</xdr:row>
      <xdr:rowOff>100445</xdr:rowOff>
    </xdr:from>
    <xdr:to>
      <xdr:col>8</xdr:col>
      <xdr:colOff>289560</xdr:colOff>
      <xdr:row>9</xdr:row>
      <xdr:rowOff>170411</xdr:rowOff>
    </xdr:to>
    <xdr:sp macro="" textlink="">
      <xdr:nvSpPr>
        <xdr:cNvPr id="7" name="Rectangle: Rounded Corners 6">
          <a:extLst>
            <a:ext uri="{FF2B5EF4-FFF2-40B4-BE49-F238E27FC236}">
              <a16:creationId xmlns:a16="http://schemas.microsoft.com/office/drawing/2014/main" id="{651CBA85-949B-4149-AC75-9E4262B0881F}"/>
            </a:ext>
          </a:extLst>
        </xdr:cNvPr>
        <xdr:cNvSpPr/>
      </xdr:nvSpPr>
      <xdr:spPr>
        <a:xfrm>
          <a:off x="3261360" y="1014845"/>
          <a:ext cx="1905000" cy="801486"/>
        </a:xfrm>
        <a:prstGeom prst="roundRect">
          <a:avLst>
            <a:gd name="adj" fmla="val 457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327660</xdr:colOff>
      <xdr:row>5</xdr:row>
      <xdr:rowOff>85205</xdr:rowOff>
    </xdr:from>
    <xdr:to>
      <xdr:col>15</xdr:col>
      <xdr:colOff>76200</xdr:colOff>
      <xdr:row>16</xdr:row>
      <xdr:rowOff>166255</xdr:rowOff>
    </xdr:to>
    <xdr:sp macro="" textlink="">
      <xdr:nvSpPr>
        <xdr:cNvPr id="8" name="Rectangle: Rounded Corners 7">
          <a:extLst>
            <a:ext uri="{FF2B5EF4-FFF2-40B4-BE49-F238E27FC236}">
              <a16:creationId xmlns:a16="http://schemas.microsoft.com/office/drawing/2014/main" id="{07C443DC-2643-4933-8910-D25728039374}"/>
            </a:ext>
          </a:extLst>
        </xdr:cNvPr>
        <xdr:cNvSpPr/>
      </xdr:nvSpPr>
      <xdr:spPr>
        <a:xfrm>
          <a:off x="5204460" y="999605"/>
          <a:ext cx="4015740" cy="2092730"/>
        </a:xfrm>
        <a:prstGeom prst="roundRect">
          <a:avLst>
            <a:gd name="adj" fmla="val 898"/>
          </a:avLst>
        </a:prstGeom>
        <a:gradFill>
          <a:gsLst>
            <a:gs pos="15000">
              <a:schemeClr val="accent5">
                <a:lumMod val="20000"/>
                <a:lumOff val="80000"/>
              </a:schemeClr>
            </a:gs>
            <a:gs pos="49000">
              <a:schemeClr val="accent5">
                <a:lumMod val="40000"/>
                <a:lumOff val="60000"/>
              </a:schemeClr>
            </a:gs>
            <a:gs pos="88000">
              <a:schemeClr val="accent1">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106680</xdr:colOff>
      <xdr:row>10</xdr:row>
      <xdr:rowOff>33251</xdr:rowOff>
    </xdr:from>
    <xdr:to>
      <xdr:col>8</xdr:col>
      <xdr:colOff>266700</xdr:colOff>
      <xdr:row>26</xdr:row>
      <xdr:rowOff>4156</xdr:rowOff>
    </xdr:to>
    <xdr:sp macro="" textlink="">
      <xdr:nvSpPr>
        <xdr:cNvPr id="9" name="Rectangle: Rounded Corners 8">
          <a:extLst>
            <a:ext uri="{FF2B5EF4-FFF2-40B4-BE49-F238E27FC236}">
              <a16:creationId xmlns:a16="http://schemas.microsoft.com/office/drawing/2014/main" id="{A57A656E-17E0-4945-99F1-9376D919B8F1}"/>
            </a:ext>
          </a:extLst>
        </xdr:cNvPr>
        <xdr:cNvSpPr/>
      </xdr:nvSpPr>
      <xdr:spPr>
        <a:xfrm>
          <a:off x="1325880" y="1862051"/>
          <a:ext cx="3817620" cy="2896985"/>
        </a:xfrm>
        <a:prstGeom prst="roundRect">
          <a:avLst>
            <a:gd name="adj" fmla="val 89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236220</xdr:colOff>
      <xdr:row>28</xdr:row>
      <xdr:rowOff>90055</xdr:rowOff>
    </xdr:from>
    <xdr:to>
      <xdr:col>21</xdr:col>
      <xdr:colOff>396240</xdr:colOff>
      <xdr:row>43</xdr:row>
      <xdr:rowOff>2771</xdr:rowOff>
    </xdr:to>
    <xdr:sp macro="" textlink="">
      <xdr:nvSpPr>
        <xdr:cNvPr id="10" name="Rectangle: Rounded Corners 9">
          <a:extLst>
            <a:ext uri="{FF2B5EF4-FFF2-40B4-BE49-F238E27FC236}">
              <a16:creationId xmlns:a16="http://schemas.microsoft.com/office/drawing/2014/main" id="{12437FE1-6BC2-4905-B33D-0246741AE012}"/>
            </a:ext>
          </a:extLst>
        </xdr:cNvPr>
        <xdr:cNvSpPr/>
      </xdr:nvSpPr>
      <xdr:spPr>
        <a:xfrm>
          <a:off x="9380220" y="5210695"/>
          <a:ext cx="3817620" cy="2655916"/>
        </a:xfrm>
        <a:prstGeom prst="roundRect">
          <a:avLst>
            <a:gd name="adj" fmla="val 89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91440</xdr:colOff>
      <xdr:row>26</xdr:row>
      <xdr:rowOff>65116</xdr:rowOff>
    </xdr:from>
    <xdr:to>
      <xdr:col>8</xdr:col>
      <xdr:colOff>251460</xdr:colOff>
      <xdr:row>42</xdr:row>
      <xdr:rowOff>178031</xdr:rowOff>
    </xdr:to>
    <xdr:sp macro="" textlink="">
      <xdr:nvSpPr>
        <xdr:cNvPr id="11" name="Rectangle: Rounded Corners 10">
          <a:extLst>
            <a:ext uri="{FF2B5EF4-FFF2-40B4-BE49-F238E27FC236}">
              <a16:creationId xmlns:a16="http://schemas.microsoft.com/office/drawing/2014/main" id="{D08D3625-D4B4-40F9-AAC7-B41059934085}"/>
            </a:ext>
          </a:extLst>
        </xdr:cNvPr>
        <xdr:cNvSpPr/>
      </xdr:nvSpPr>
      <xdr:spPr>
        <a:xfrm>
          <a:off x="1310640" y="4819996"/>
          <a:ext cx="3817620" cy="3038995"/>
        </a:xfrm>
        <a:prstGeom prst="roundRect">
          <a:avLst>
            <a:gd name="adj" fmla="val 89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312420</xdr:colOff>
      <xdr:row>28</xdr:row>
      <xdr:rowOff>102524</xdr:rowOff>
    </xdr:from>
    <xdr:to>
      <xdr:col>15</xdr:col>
      <xdr:colOff>160020</xdr:colOff>
      <xdr:row>43</xdr:row>
      <xdr:rowOff>2771</xdr:rowOff>
    </xdr:to>
    <xdr:sp macro="" textlink="">
      <xdr:nvSpPr>
        <xdr:cNvPr id="12" name="Rectangle: Rounded Corners 11">
          <a:extLst>
            <a:ext uri="{FF2B5EF4-FFF2-40B4-BE49-F238E27FC236}">
              <a16:creationId xmlns:a16="http://schemas.microsoft.com/office/drawing/2014/main" id="{4BC2BB07-4839-4F44-99E8-8825812BEE29}"/>
            </a:ext>
          </a:extLst>
        </xdr:cNvPr>
        <xdr:cNvSpPr/>
      </xdr:nvSpPr>
      <xdr:spPr>
        <a:xfrm>
          <a:off x="5189220" y="5223164"/>
          <a:ext cx="4114800" cy="2643447"/>
        </a:xfrm>
        <a:prstGeom prst="roundRect">
          <a:avLst>
            <a:gd name="adj" fmla="val 89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327660</xdr:colOff>
      <xdr:row>17</xdr:row>
      <xdr:rowOff>36715</xdr:rowOff>
    </xdr:from>
    <xdr:to>
      <xdr:col>21</xdr:col>
      <xdr:colOff>396240</xdr:colOff>
      <xdr:row>28</xdr:row>
      <xdr:rowOff>51955</xdr:rowOff>
    </xdr:to>
    <xdr:sp macro="" textlink="">
      <xdr:nvSpPr>
        <xdr:cNvPr id="13" name="Rectangle: Rounded Corners 12">
          <a:extLst>
            <a:ext uri="{FF2B5EF4-FFF2-40B4-BE49-F238E27FC236}">
              <a16:creationId xmlns:a16="http://schemas.microsoft.com/office/drawing/2014/main" id="{4D3E9B53-EE60-473A-9424-0F3DFC156880}"/>
            </a:ext>
          </a:extLst>
        </xdr:cNvPr>
        <xdr:cNvSpPr/>
      </xdr:nvSpPr>
      <xdr:spPr>
        <a:xfrm>
          <a:off x="5189946" y="3121001"/>
          <a:ext cx="7969794" cy="2010954"/>
        </a:xfrm>
        <a:prstGeom prst="roundRect">
          <a:avLst>
            <a:gd name="adj" fmla="val 89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114300</xdr:colOff>
      <xdr:row>5</xdr:row>
      <xdr:rowOff>77585</xdr:rowOff>
    </xdr:from>
    <xdr:to>
      <xdr:col>21</xdr:col>
      <xdr:colOff>365760</xdr:colOff>
      <xdr:row>16</xdr:row>
      <xdr:rowOff>166255</xdr:rowOff>
    </xdr:to>
    <xdr:sp macro="" textlink="">
      <xdr:nvSpPr>
        <xdr:cNvPr id="14" name="Rectangle: Rounded Corners 13">
          <a:extLst>
            <a:ext uri="{FF2B5EF4-FFF2-40B4-BE49-F238E27FC236}">
              <a16:creationId xmlns:a16="http://schemas.microsoft.com/office/drawing/2014/main" id="{0A4D9824-EC7C-4AFB-AF48-1B064FB37BD8}"/>
            </a:ext>
          </a:extLst>
        </xdr:cNvPr>
        <xdr:cNvSpPr/>
      </xdr:nvSpPr>
      <xdr:spPr>
        <a:xfrm>
          <a:off x="9258300" y="991985"/>
          <a:ext cx="3909060" cy="2100350"/>
        </a:xfrm>
        <a:prstGeom prst="roundRect">
          <a:avLst>
            <a:gd name="adj" fmla="val 898"/>
          </a:avLst>
        </a:prstGeom>
        <a:gradFill>
          <a:gsLst>
            <a:gs pos="0">
              <a:schemeClr val="accent1">
                <a:lumMod val="5000"/>
                <a:lumOff val="95000"/>
              </a:schemeClr>
            </a:gs>
            <a:gs pos="5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373380</xdr:colOff>
      <xdr:row>17</xdr:row>
      <xdr:rowOff>6235</xdr:rowOff>
    </xdr:from>
    <xdr:to>
      <xdr:col>21</xdr:col>
      <xdr:colOff>510540</xdr:colOff>
      <xdr:row>28</xdr:row>
      <xdr:rowOff>36715</xdr:rowOff>
    </xdr:to>
    <xdr:graphicFrame macro="">
      <xdr:nvGraphicFramePr>
        <xdr:cNvPr id="15" name="Chart 14">
          <a:extLst>
            <a:ext uri="{FF2B5EF4-FFF2-40B4-BE49-F238E27FC236}">
              <a16:creationId xmlns:a16="http://schemas.microsoft.com/office/drawing/2014/main" id="{92FDCC9D-471F-492E-A4F5-18780D6CF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10</xdr:row>
      <xdr:rowOff>33251</xdr:rowOff>
    </xdr:from>
    <xdr:to>
      <xdr:col>8</xdr:col>
      <xdr:colOff>114300</xdr:colOff>
      <xdr:row>25</xdr:row>
      <xdr:rowOff>90747</xdr:rowOff>
    </xdr:to>
    <xdr:graphicFrame macro="">
      <xdr:nvGraphicFramePr>
        <xdr:cNvPr id="16" name="Chart 15">
          <a:extLst>
            <a:ext uri="{FF2B5EF4-FFF2-40B4-BE49-F238E27FC236}">
              <a16:creationId xmlns:a16="http://schemas.microsoft.com/office/drawing/2014/main" id="{959632D6-DDFF-4CAD-AB78-E12E622CD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291629</xdr:colOff>
      <xdr:row>27</xdr:row>
      <xdr:rowOff>80211</xdr:rowOff>
    </xdr:from>
    <xdr:to>
      <xdr:col>15</xdr:col>
      <xdr:colOff>357482</xdr:colOff>
      <xdr:row>43</xdr:row>
      <xdr:rowOff>84667</xdr:rowOff>
    </xdr:to>
    <xdr:graphicFrame macro="">
      <xdr:nvGraphicFramePr>
        <xdr:cNvPr id="19" name="Chart 18">
          <a:extLst>
            <a:ext uri="{FF2B5EF4-FFF2-40B4-BE49-F238E27FC236}">
              <a16:creationId xmlns:a16="http://schemas.microsoft.com/office/drawing/2014/main" id="{A77E5CBD-1017-47B6-8674-0586C6251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83820</xdr:colOff>
      <xdr:row>25</xdr:row>
      <xdr:rowOff>173182</xdr:rowOff>
    </xdr:from>
    <xdr:to>
      <xdr:col>8</xdr:col>
      <xdr:colOff>370703</xdr:colOff>
      <xdr:row>42</xdr:row>
      <xdr:rowOff>133005</xdr:rowOff>
    </xdr:to>
    <xdr:graphicFrame macro="">
      <xdr:nvGraphicFramePr>
        <xdr:cNvPr id="20" name="Chart 19">
          <a:extLst>
            <a:ext uri="{FF2B5EF4-FFF2-40B4-BE49-F238E27FC236}">
              <a16:creationId xmlns:a16="http://schemas.microsoft.com/office/drawing/2014/main" id="{BB58CD2D-4534-49FB-AB29-DEFF178D8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74190</xdr:colOff>
      <xdr:row>29</xdr:row>
      <xdr:rowOff>126009</xdr:rowOff>
    </xdr:from>
    <xdr:to>
      <xdr:col>21</xdr:col>
      <xdr:colOff>74190</xdr:colOff>
      <xdr:row>40</xdr:row>
      <xdr:rowOff>173455</xdr:rowOff>
    </xdr:to>
    <xdr:graphicFrame macro="">
      <xdr:nvGraphicFramePr>
        <xdr:cNvPr id="21" name="Chart 20">
          <a:extLst>
            <a:ext uri="{FF2B5EF4-FFF2-40B4-BE49-F238E27FC236}">
              <a16:creationId xmlns:a16="http://schemas.microsoft.com/office/drawing/2014/main" id="{D48B4BD9-5C30-4A76-927E-4681BF4D4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99060</xdr:colOff>
      <xdr:row>0</xdr:row>
      <xdr:rowOff>30480</xdr:rowOff>
    </xdr:from>
    <xdr:to>
      <xdr:col>3</xdr:col>
      <xdr:colOff>403860</xdr:colOff>
      <xdr:row>5</xdr:row>
      <xdr:rowOff>30480</xdr:rowOff>
    </xdr:to>
    <xdr:pic>
      <xdr:nvPicPr>
        <xdr:cNvPr id="22" name="Graphic 1" descr="Bar graph with upward trend with solid fill">
          <a:extLst>
            <a:ext uri="{FF2B5EF4-FFF2-40B4-BE49-F238E27FC236}">
              <a16:creationId xmlns:a16="http://schemas.microsoft.com/office/drawing/2014/main" id="{B51C0FEA-DE9E-4964-9CE3-5A654294F2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18260" y="30480"/>
          <a:ext cx="914400" cy="914400"/>
        </a:xfrm>
        <a:prstGeom prst="rect">
          <a:avLst/>
        </a:prstGeom>
      </xdr:spPr>
    </xdr:pic>
    <xdr:clientData/>
  </xdr:twoCellAnchor>
  <xdr:twoCellAnchor>
    <xdr:from>
      <xdr:col>3</xdr:col>
      <xdr:colOff>443345</xdr:colOff>
      <xdr:row>1</xdr:row>
      <xdr:rowOff>4156</xdr:rowOff>
    </xdr:from>
    <xdr:to>
      <xdr:col>14</xdr:col>
      <xdr:colOff>124691</xdr:colOff>
      <xdr:row>3</xdr:row>
      <xdr:rowOff>171796</xdr:rowOff>
    </xdr:to>
    <xdr:sp macro="" textlink="">
      <xdr:nvSpPr>
        <xdr:cNvPr id="23" name="TextBox 22">
          <a:extLst>
            <a:ext uri="{FF2B5EF4-FFF2-40B4-BE49-F238E27FC236}">
              <a16:creationId xmlns:a16="http://schemas.microsoft.com/office/drawing/2014/main" id="{A3560C56-5798-4744-B6CA-881F407DB166}"/>
            </a:ext>
          </a:extLst>
        </xdr:cNvPr>
        <xdr:cNvSpPr txBox="1"/>
      </xdr:nvSpPr>
      <xdr:spPr>
        <a:xfrm>
          <a:off x="2272145" y="187036"/>
          <a:ext cx="6386946"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0"/>
              <a:solidFill>
                <a:schemeClr val="tx1"/>
              </a:solidFill>
              <a:effectLst>
                <a:outerShdw blurRad="38100" dist="19050" dir="2700000" algn="tl" rotWithShape="0">
                  <a:schemeClr val="dk1">
                    <a:alpha val="40000"/>
                  </a:schemeClr>
                </a:outerShdw>
              </a:effectLst>
            </a:rPr>
            <a:t>SALES</a:t>
          </a:r>
          <a:r>
            <a:rPr lang="en-IN" sz="2400" b="1" cap="none" spc="0" baseline="0">
              <a:ln w="0"/>
              <a:solidFill>
                <a:schemeClr val="tx1"/>
              </a:solidFill>
              <a:effectLst>
                <a:outerShdw blurRad="38100" dist="19050" dir="2700000" algn="tl" rotWithShape="0">
                  <a:schemeClr val="dk1">
                    <a:alpha val="40000"/>
                  </a:schemeClr>
                </a:outerShdw>
              </a:effectLst>
            </a:rPr>
            <a:t> &amp; PROFIT DASHBOARD OF IT-INFO TECH</a:t>
          </a:r>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214745</xdr:colOff>
      <xdr:row>5</xdr:row>
      <xdr:rowOff>145473</xdr:rowOff>
    </xdr:from>
    <xdr:to>
      <xdr:col>3</xdr:col>
      <xdr:colOff>221673</xdr:colOff>
      <xdr:row>9</xdr:row>
      <xdr:rowOff>99752</xdr:rowOff>
    </xdr:to>
    <xdr:pic>
      <xdr:nvPicPr>
        <xdr:cNvPr id="24" name="Graphic 1" descr="Money with solid fill">
          <a:extLst>
            <a:ext uri="{FF2B5EF4-FFF2-40B4-BE49-F238E27FC236}">
              <a16:creationId xmlns:a16="http://schemas.microsoft.com/office/drawing/2014/main" id="{28D7D076-87A8-40D5-88EE-17FF18F9580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33945" y="1059873"/>
          <a:ext cx="616528" cy="685799"/>
        </a:xfrm>
        <a:prstGeom prst="rect">
          <a:avLst/>
        </a:prstGeom>
      </xdr:spPr>
    </xdr:pic>
    <xdr:clientData/>
  </xdr:twoCellAnchor>
  <xdr:twoCellAnchor editAs="oneCell">
    <xdr:from>
      <xdr:col>5</xdr:col>
      <xdr:colOff>213360</xdr:colOff>
      <xdr:row>5</xdr:row>
      <xdr:rowOff>124691</xdr:rowOff>
    </xdr:from>
    <xdr:to>
      <xdr:col>6</xdr:col>
      <xdr:colOff>284018</xdr:colOff>
      <xdr:row>9</xdr:row>
      <xdr:rowOff>141316</xdr:rowOff>
    </xdr:to>
    <xdr:pic>
      <xdr:nvPicPr>
        <xdr:cNvPr id="25" name="Graphic 1" descr="Coins with solid fill">
          <a:extLst>
            <a:ext uri="{FF2B5EF4-FFF2-40B4-BE49-F238E27FC236}">
              <a16:creationId xmlns:a16="http://schemas.microsoft.com/office/drawing/2014/main" id="{0E1788DC-6E8E-496B-9CC6-40BA102ABA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61360" y="1039091"/>
          <a:ext cx="680258" cy="748145"/>
        </a:xfrm>
        <a:prstGeom prst="rect">
          <a:avLst/>
        </a:prstGeom>
      </xdr:spPr>
    </xdr:pic>
    <xdr:clientData/>
  </xdr:twoCellAnchor>
  <xdr:twoCellAnchor editAs="oneCell">
    <xdr:from>
      <xdr:col>20</xdr:col>
      <xdr:colOff>62345</xdr:colOff>
      <xdr:row>0</xdr:row>
      <xdr:rowOff>48491</xdr:rowOff>
    </xdr:from>
    <xdr:to>
      <xdr:col>21</xdr:col>
      <xdr:colOff>299950</xdr:colOff>
      <xdr:row>4</xdr:row>
      <xdr:rowOff>169025</xdr:rowOff>
    </xdr:to>
    <xdr:pic>
      <xdr:nvPicPr>
        <xdr:cNvPr id="26" name="Graphic 1" descr="Laptop with solid fill">
          <a:extLst>
            <a:ext uri="{FF2B5EF4-FFF2-40B4-BE49-F238E27FC236}">
              <a16:creationId xmlns:a16="http://schemas.microsoft.com/office/drawing/2014/main" id="{E9B73F95-E9F7-4918-8E4D-851E22C1FC5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254345" y="48491"/>
          <a:ext cx="847205" cy="852054"/>
        </a:xfrm>
        <a:prstGeom prst="rect">
          <a:avLst/>
        </a:prstGeom>
      </xdr:spPr>
    </xdr:pic>
    <xdr:clientData/>
  </xdr:twoCellAnchor>
  <xdr:twoCellAnchor>
    <xdr:from>
      <xdr:col>3</xdr:col>
      <xdr:colOff>166255</xdr:colOff>
      <xdr:row>5</xdr:row>
      <xdr:rowOff>145473</xdr:rowOff>
    </xdr:from>
    <xdr:to>
      <xdr:col>5</xdr:col>
      <xdr:colOff>242455</xdr:colOff>
      <xdr:row>7</xdr:row>
      <xdr:rowOff>56804</xdr:rowOff>
    </xdr:to>
    <xdr:sp macro="" textlink="">
      <xdr:nvSpPr>
        <xdr:cNvPr id="27" name="TextBox 26">
          <a:extLst>
            <a:ext uri="{FF2B5EF4-FFF2-40B4-BE49-F238E27FC236}">
              <a16:creationId xmlns:a16="http://schemas.microsoft.com/office/drawing/2014/main" id="{45E3CEF3-381D-4095-9D5B-2D0514D607B2}"/>
            </a:ext>
          </a:extLst>
        </xdr:cNvPr>
        <xdr:cNvSpPr txBox="1"/>
      </xdr:nvSpPr>
      <xdr:spPr>
        <a:xfrm>
          <a:off x="1995055" y="1059873"/>
          <a:ext cx="1295400"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3</xdr:col>
      <xdr:colOff>249382</xdr:colOff>
      <xdr:row>7</xdr:row>
      <xdr:rowOff>8313</xdr:rowOff>
    </xdr:from>
    <xdr:to>
      <xdr:col>5</xdr:col>
      <xdr:colOff>214745</xdr:colOff>
      <xdr:row>9</xdr:row>
      <xdr:rowOff>37408</xdr:rowOff>
    </xdr:to>
    <xdr:sp macro="" textlink="'PIVOT TABLES'!B10">
      <xdr:nvSpPr>
        <xdr:cNvPr id="28" name="TextBox 27">
          <a:extLst>
            <a:ext uri="{FF2B5EF4-FFF2-40B4-BE49-F238E27FC236}">
              <a16:creationId xmlns:a16="http://schemas.microsoft.com/office/drawing/2014/main" id="{C6866EB9-1768-42AF-B055-D37BDDA7016F}"/>
            </a:ext>
          </a:extLst>
        </xdr:cNvPr>
        <xdr:cNvSpPr txBox="1"/>
      </xdr:nvSpPr>
      <xdr:spPr>
        <a:xfrm>
          <a:off x="2078182" y="1288473"/>
          <a:ext cx="1184563" cy="394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A45AA8-4A82-4365-9F88-2ACD4B704D64}" type="TxLink">
            <a:rPr lang="en-US" sz="1100" b="0" i="0" u="none" strike="noStrike">
              <a:solidFill>
                <a:srgbClr val="000000"/>
              </a:solidFill>
              <a:latin typeface="Calibri"/>
              <a:ea typeface="Calibri"/>
              <a:cs typeface="Calibri"/>
            </a:rPr>
            <a:pPr/>
            <a:t>₹ 2,58,082</a:t>
          </a:fld>
          <a:endParaRPr lang="en-IN" sz="1100"/>
        </a:p>
      </xdr:txBody>
    </xdr:sp>
    <xdr:clientData/>
  </xdr:twoCellAnchor>
  <xdr:twoCellAnchor>
    <xdr:from>
      <xdr:col>6</xdr:col>
      <xdr:colOff>180109</xdr:colOff>
      <xdr:row>5</xdr:row>
      <xdr:rowOff>159328</xdr:rowOff>
    </xdr:from>
    <xdr:to>
      <xdr:col>8</xdr:col>
      <xdr:colOff>325582</xdr:colOff>
      <xdr:row>7</xdr:row>
      <xdr:rowOff>112222</xdr:rowOff>
    </xdr:to>
    <xdr:sp macro="" textlink="">
      <xdr:nvSpPr>
        <xdr:cNvPr id="29" name="TextBox 28">
          <a:extLst>
            <a:ext uri="{FF2B5EF4-FFF2-40B4-BE49-F238E27FC236}">
              <a16:creationId xmlns:a16="http://schemas.microsoft.com/office/drawing/2014/main" id="{51084060-5D7C-424A-AB80-39C3577976CF}"/>
            </a:ext>
          </a:extLst>
        </xdr:cNvPr>
        <xdr:cNvSpPr txBox="1"/>
      </xdr:nvSpPr>
      <xdr:spPr>
        <a:xfrm>
          <a:off x="3837709" y="1073728"/>
          <a:ext cx="1364673"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xdr:from>
      <xdr:col>6</xdr:col>
      <xdr:colOff>242454</xdr:colOff>
      <xdr:row>7</xdr:row>
      <xdr:rowOff>42949</xdr:rowOff>
    </xdr:from>
    <xdr:to>
      <xdr:col>7</xdr:col>
      <xdr:colOff>498763</xdr:colOff>
      <xdr:row>8</xdr:row>
      <xdr:rowOff>137159</xdr:rowOff>
    </xdr:to>
    <xdr:sp macro="" textlink="'PIVOT TABLES'!B11">
      <xdr:nvSpPr>
        <xdr:cNvPr id="30" name="TextBox 29">
          <a:extLst>
            <a:ext uri="{FF2B5EF4-FFF2-40B4-BE49-F238E27FC236}">
              <a16:creationId xmlns:a16="http://schemas.microsoft.com/office/drawing/2014/main" id="{A2E2EDD5-6DC9-4F15-B778-0677EBD2ACAF}"/>
            </a:ext>
          </a:extLst>
        </xdr:cNvPr>
        <xdr:cNvSpPr txBox="1"/>
      </xdr:nvSpPr>
      <xdr:spPr>
        <a:xfrm>
          <a:off x="3900054" y="1323109"/>
          <a:ext cx="865909" cy="277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05D13E-5AFD-4694-A781-9DA9E1C19AB2}" type="TxLink">
            <a:rPr lang="en-US" sz="1100" b="0" i="0" u="none" strike="noStrike">
              <a:solidFill>
                <a:srgbClr val="000000"/>
              </a:solidFill>
              <a:latin typeface="Calibri"/>
              <a:ea typeface="Calibri"/>
              <a:cs typeface="Calibri"/>
            </a:rPr>
            <a:pPr/>
            <a:t>₹ 28,30,007</a:t>
          </a:fld>
          <a:endParaRPr lang="en-IN" sz="1100"/>
        </a:p>
      </xdr:txBody>
    </xdr:sp>
    <xdr:clientData/>
  </xdr:twoCellAnchor>
  <xdr:twoCellAnchor editAs="oneCell">
    <xdr:from>
      <xdr:col>0</xdr:col>
      <xdr:colOff>21474</xdr:colOff>
      <xdr:row>0</xdr:row>
      <xdr:rowOff>162097</xdr:rowOff>
    </xdr:from>
    <xdr:to>
      <xdr:col>2</xdr:col>
      <xdr:colOff>20781</xdr:colOff>
      <xdr:row>4</xdr:row>
      <xdr:rowOff>113606</xdr:rowOff>
    </xdr:to>
    <xdr:pic>
      <xdr:nvPicPr>
        <xdr:cNvPr id="31" name="Picture 30">
          <a:extLst>
            <a:ext uri="{FF2B5EF4-FFF2-40B4-BE49-F238E27FC236}">
              <a16:creationId xmlns:a16="http://schemas.microsoft.com/office/drawing/2014/main" id="{4D4F9BC1-9DF4-4109-840B-977D1EF45073}"/>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7781" b="96830" l="2778" r="97889">
                      <a14:foregroundMark x1="14556" y1="8357" x2="16333" y2="10663"/>
                      <a14:foregroundMark x1="5667" y1="18156" x2="9000" y2="11816"/>
                      <a14:foregroundMark x1="8333" y1="29395" x2="10778" y2="31412"/>
                      <a14:foregroundMark x1="9556" y1="97406" x2="18000" y2="95101"/>
                      <a14:foregroundMark x1="2778" y1="75793" x2="5556" y2="84438"/>
                      <a14:foregroundMark x1="44667" y1="37464" x2="48667" y2="47839"/>
                      <a14:foregroundMark x1="38556" y1="40058" x2="38778" y2="43228"/>
                      <a14:foregroundMark x1="38444" y1="27089" x2="38778" y2="28530"/>
                      <a14:foregroundMark x1="55444" y1="27378" x2="53111" y2="45245"/>
                      <a14:foregroundMark x1="53111" y1="45245" x2="53111" y2="46974"/>
                      <a14:foregroundMark x1="60444" y1="37464" x2="63222" y2="52161"/>
                      <a14:foregroundMark x1="63222" y1="52161" x2="61556" y2="36599"/>
                      <a14:foregroundMark x1="61556" y1="36599" x2="61000" y2="36599"/>
                      <a14:foregroundMark x1="68333" y1="29107" x2="68556" y2="45533"/>
                      <a14:foregroundMark x1="74667" y1="42939" x2="75333" y2="38329"/>
                      <a14:foregroundMark x1="85444" y1="38329" x2="83667" y2="42651"/>
                      <a14:foregroundMark x1="92556" y1="35159" x2="92556" y2="37464"/>
                      <a14:foregroundMark x1="95889" y1="37752" x2="97889" y2="40058"/>
                    </a14:backgroundRemoval>
                  </a14:imgEffect>
                </a14:imgLayer>
              </a14:imgProps>
            </a:ext>
            <a:ext uri="{28A0092B-C50C-407E-A947-70E740481C1C}">
              <a14:useLocalDpi xmlns:a14="http://schemas.microsoft.com/office/drawing/2010/main" val="0"/>
            </a:ext>
          </a:extLst>
        </a:blip>
        <a:stretch>
          <a:fillRect/>
        </a:stretch>
      </xdr:blipFill>
      <xdr:spPr>
        <a:xfrm>
          <a:off x="21474" y="162097"/>
          <a:ext cx="1218507" cy="683029"/>
        </a:xfrm>
        <a:prstGeom prst="rect">
          <a:avLst/>
        </a:prstGeom>
      </xdr:spPr>
    </xdr:pic>
    <xdr:clientData/>
  </xdr:twoCellAnchor>
  <xdr:twoCellAnchor editAs="oneCell">
    <xdr:from>
      <xdr:col>0</xdr:col>
      <xdr:colOff>34637</xdr:colOff>
      <xdr:row>21</xdr:row>
      <xdr:rowOff>117230</xdr:rowOff>
    </xdr:from>
    <xdr:to>
      <xdr:col>2</xdr:col>
      <xdr:colOff>27709</xdr:colOff>
      <xdr:row>41</xdr:row>
      <xdr:rowOff>101138</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3B85EF3E-0C5F-4E19-9E00-905968F246F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637" y="3936768"/>
              <a:ext cx="1212272" cy="366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58616</xdr:colOff>
      <xdr:row>11</xdr:row>
      <xdr:rowOff>73375</xdr:rowOff>
    </xdr:from>
    <xdr:to>
      <xdr:col>2</xdr:col>
      <xdr:colOff>32374</xdr:colOff>
      <xdr:row>20</xdr:row>
      <xdr:rowOff>150268</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A75E6A6D-23AE-437B-8906-5016A517E9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8616" y="2054575"/>
              <a:ext cx="1192958" cy="169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5</xdr:row>
      <xdr:rowOff>147551</xdr:rowOff>
    </xdr:from>
    <xdr:to>
      <xdr:col>2</xdr:col>
      <xdr:colOff>6927</xdr:colOff>
      <xdr:row>10</xdr:row>
      <xdr:rowOff>131618</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3241E404-EF61-473C-9AC0-C2046AE2228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273" y="1061951"/>
              <a:ext cx="1156854" cy="898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381000</xdr:colOff>
      <xdr:row>5</xdr:row>
      <xdr:rowOff>90237</xdr:rowOff>
    </xdr:from>
    <xdr:to>
      <xdr:col>15</xdr:col>
      <xdr:colOff>68580</xdr:colOff>
      <xdr:row>16</xdr:row>
      <xdr:rowOff>125567</xdr:rowOff>
    </xdr:to>
    <xdr:graphicFrame macro="">
      <xdr:nvGraphicFramePr>
        <xdr:cNvPr id="35" name="Chart 34">
          <a:extLst>
            <a:ext uri="{FF2B5EF4-FFF2-40B4-BE49-F238E27FC236}">
              <a16:creationId xmlns:a16="http://schemas.microsoft.com/office/drawing/2014/main" id="{67AE6F36-AC78-4344-AB2B-BD2F3F18F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164123</xdr:colOff>
      <xdr:row>5</xdr:row>
      <xdr:rowOff>140677</xdr:rowOff>
    </xdr:from>
    <xdr:to>
      <xdr:col>21</xdr:col>
      <xdr:colOff>293077</xdr:colOff>
      <xdr:row>16</xdr:row>
      <xdr:rowOff>105508</xdr:rowOff>
    </xdr:to>
    <xdr:graphicFrame macro="">
      <xdr:nvGraphicFramePr>
        <xdr:cNvPr id="17" name="Chart 16">
          <a:extLst>
            <a:ext uri="{FF2B5EF4-FFF2-40B4-BE49-F238E27FC236}">
              <a16:creationId xmlns:a16="http://schemas.microsoft.com/office/drawing/2014/main" id="{06535DB0-E1E7-4E67-BBF5-8B73B3777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0.5807</cdr:x>
      <cdr:y>0.02463</cdr:y>
    </cdr:from>
    <cdr:to>
      <cdr:x>0.98149</cdr:x>
      <cdr:y>0.10577</cdr:y>
    </cdr:to>
    <cdr:sp macro="" textlink="">
      <cdr:nvSpPr>
        <cdr:cNvPr id="2" name="TextBox 1">
          <a:extLst xmlns:a="http://schemas.openxmlformats.org/drawingml/2006/main">
            <a:ext uri="{FF2B5EF4-FFF2-40B4-BE49-F238E27FC236}">
              <a16:creationId xmlns:a16="http://schemas.microsoft.com/office/drawing/2014/main" id="{E3EA5A4F-1D8D-5482-A78D-C497AB418490}"/>
            </a:ext>
          </a:extLst>
        </cdr:cNvPr>
        <cdr:cNvSpPr txBox="1"/>
      </cdr:nvSpPr>
      <cdr:spPr>
        <a:xfrm xmlns:a="http://schemas.openxmlformats.org/drawingml/2006/main">
          <a:off x="2408969" y="76613"/>
          <a:ext cx="1662625" cy="2524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tx1"/>
              </a:solidFill>
            </a:rPr>
            <a:t>SALES BY MONTH</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h Habiba" refreshedDate="45882.949993055554" createdVersion="8" refreshedVersion="8" minRefreshableVersion="3" recordCount="102" xr:uid="{FE031E49-59D7-44C4-9A7D-ED068322432C}">
  <cacheSource type="worksheet">
    <worksheetSource ref="A1:I103" sheet="DATA"/>
  </cacheSource>
  <cacheFields count="11">
    <cacheField name="Product Name" numFmtId="0">
      <sharedItems count="25">
        <s v="IT Strategy Planning"/>
        <s v="AWS S3 Storage Plan"/>
        <s v="SAP Business One"/>
        <s v="Server Maintenance Contract"/>
        <s v="IT Helpdesk Subscription"/>
        <s v="Dell Latitude 5420 Laptop"/>
        <s v="Dropbox Business Plan"/>
        <s v="HP ProDesk 600 Desktop"/>
        <s v="IBM Cloud Hosting"/>
        <s v="Cisco Catalyst Switch"/>
        <s v="Infrastructure Consulting"/>
        <s v="Security Patch Service"/>
        <s v="AutoCAD License"/>
        <s v="QuickBooks Enterprise"/>
        <s v="Microsoft Azure VM"/>
        <s v="Digital Transformation Advisory"/>
        <s v="Adobe Creative Cloud"/>
        <s v="Onsite Hardware Repair"/>
        <s v="Lenovo ThinkPad X1"/>
        <s v="Microsoft Office 365"/>
        <s v="Cybersecurity Audit"/>
        <s v="Dell PowerEdge Server"/>
        <s v="Cloud Migration Service"/>
        <s v="Network Troubleshooting"/>
        <s v="Google Cloud SQL"/>
      </sharedItems>
    </cacheField>
    <cacheField name="Category" numFmtId="0">
      <sharedItems count="5">
        <s v="Consulting"/>
        <s v="Cloud"/>
        <s v="Software"/>
        <s v="Support"/>
        <s v="Hardware"/>
      </sharedItems>
    </cacheField>
    <cacheField name="Date" numFmtId="0">
      <sharedItems/>
    </cacheField>
    <cacheField name="Year" numFmtId="0">
      <sharedItems containsSemiMixedTypes="0" containsString="0" containsNumber="1" containsInteger="1" minValue="2023" maxValue="2024" count="2">
        <n v="2024"/>
        <n v="2023"/>
      </sharedItems>
    </cacheField>
    <cacheField name="Month" numFmtId="0">
      <sharedItems count="12">
        <s v="April"/>
        <s v="March"/>
        <s v="February"/>
        <s v="January"/>
        <s v="September"/>
        <s v="July"/>
        <s v="November"/>
        <s v="June"/>
        <s v="May"/>
        <s v="December"/>
        <s v="October"/>
        <s v="August"/>
      </sharedItems>
    </cacheField>
    <cacheField name="State" numFmtId="0">
      <sharedItems count="10">
        <s v="New York"/>
        <s v="Texas"/>
        <s v="Georgia"/>
        <s v="California"/>
        <s v="Colorado"/>
        <s v="Florida"/>
        <s v="Virginia"/>
        <s v="Washington"/>
        <s v="Massachusetts"/>
        <s v="Illinois"/>
      </sharedItems>
    </cacheField>
    <cacheField name="Customer Name" numFmtId="0">
      <sharedItems count="10">
        <s v="PrimeSoft LLC"/>
        <s v="CyberCore Ltd"/>
        <s v="TechNova Inc"/>
        <s v="Quantum IT Services"/>
        <s v="DataSphere Solutions"/>
        <s v="SkyHigh Networks"/>
        <s v="CloudEdge LLC"/>
        <s v="InnoWare Corp"/>
        <s v="BluePeak Technologies"/>
        <s v="NextGen Systems"/>
      </sharedItems>
    </cacheField>
    <cacheField name="Sales ($)" numFmtId="0">
      <sharedItems containsSemiMixedTypes="0" containsString="0" containsNumber="1" minValue="7045.78" maxValue="49915.53" count="102">
        <n v="20819.61"/>
        <n v="21349"/>
        <n v="10680.35"/>
        <n v="11904.72"/>
        <n v="28825.69"/>
        <n v="28298.54"/>
        <n v="17850.96"/>
        <n v="12769.54"/>
        <n v="18066.3"/>
        <n v="49330.96"/>
        <n v="21601"/>
        <n v="22917.200000000001"/>
        <n v="10639.71"/>
        <n v="44508.21"/>
        <n v="42412.59"/>
        <n v="47636.74"/>
        <n v="10632.66"/>
        <n v="11938.74"/>
        <n v="7045.78"/>
        <n v="33754.6"/>
        <n v="18384.52"/>
        <n v="14181.04"/>
        <n v="28174.11"/>
        <n v="11339.49"/>
        <n v="37450.78"/>
        <n v="27381.66"/>
        <n v="20880.28"/>
        <n v="24391.75"/>
        <n v="30662.67"/>
        <n v="39398.19"/>
        <n v="40770.379999999997"/>
        <n v="27503.51"/>
        <n v="32281.72"/>
        <n v="31717.61"/>
        <n v="41708.699999999997"/>
        <n v="26356.560000000001"/>
        <n v="28590.45"/>
        <n v="13585.29"/>
        <n v="39873.75"/>
        <n v="49915.53"/>
        <n v="29582.29"/>
        <n v="18432.46"/>
        <n v="20696.14"/>
        <n v="45309.22"/>
        <n v="20586.36"/>
        <n v="46986.080000000002"/>
        <n v="7284.44"/>
        <n v="37281.11"/>
        <n v="26485.18"/>
        <n v="15449.91"/>
        <n v="40458.230000000003"/>
        <n v="9828.5300000000007"/>
        <n v="43297.69"/>
        <n v="37336.92"/>
        <n v="43526.59"/>
        <n v="13315.15"/>
        <n v="25103.1"/>
        <n v="34415.75"/>
        <n v="35873.31"/>
        <n v="14860.79"/>
        <n v="46075.86"/>
        <n v="28767.79"/>
        <n v="30771.58"/>
        <n v="26997.26"/>
        <n v="25555.93"/>
        <n v="38561.199999999997"/>
        <n v="47056.23"/>
        <n v="39462.25"/>
        <n v="8611.25"/>
        <n v="22687.64"/>
        <n v="24085.759999999998"/>
        <n v="13481.62"/>
        <n v="14273.67"/>
        <n v="23101.94"/>
        <n v="41710.379999999997"/>
        <n v="14946.92"/>
        <n v="27302.94"/>
        <n v="18494.98"/>
        <n v="41259.93"/>
        <n v="22478.86"/>
        <n v="37606.31"/>
        <n v="13467.35"/>
        <n v="48065.89"/>
        <n v="22848.44"/>
        <n v="18879"/>
        <n v="21681.72"/>
        <n v="47064.12"/>
        <n v="22092.79"/>
        <n v="25737.3"/>
        <n v="46260.47"/>
        <n v="23557.65"/>
        <n v="25520.43"/>
        <n v="29823.96"/>
        <n v="41592.07"/>
        <n v="13636.94"/>
        <n v="25654.9"/>
        <n v="22066.880000000001"/>
        <n v="34020.83"/>
        <n v="26397.51"/>
        <n v="46794.49"/>
        <n v="30378.12"/>
        <n v="27535.68"/>
      </sharedItems>
    </cacheField>
    <cacheField name="Profit ($)" numFmtId="0">
      <sharedItems containsSemiMixedTypes="0" containsString="0" containsNumber="1" minValue="-9170.9599999999991" maxValue="15271.89" count="102">
        <n v="-3634.83"/>
        <n v="5991.76"/>
        <n v="-623.76"/>
        <n v="832.78"/>
        <n v="1119.03"/>
        <n v="9851.44"/>
        <n v="6245.83"/>
        <n v="2911.74"/>
        <n v="-361.8"/>
        <n v="13577.82"/>
        <n v="6095.74"/>
        <n v="5274.63"/>
        <n v="-104.09"/>
        <n v="11935.22"/>
        <n v="4701.91"/>
        <n v="5303.81"/>
        <n v="-194.63"/>
        <n v="2330.92"/>
        <n v="1302.57"/>
        <n v="3335.73"/>
        <n v="-2871.96"/>
        <n v="2325.64"/>
        <n v="-3839.84"/>
        <n v="-1923.6"/>
        <n v="-3224.49"/>
        <n v="-3996.92"/>
        <n v="-3542.88"/>
        <n v="8036.43"/>
        <n v="-2551.34"/>
        <n v="-1267.3399999999999"/>
        <n v="140.71"/>
        <n v="-4753.1000000000004"/>
        <n v="3528.5"/>
        <n v="3310.97"/>
        <n v="876.5"/>
        <n v="10021.879999999999"/>
        <n v="6653.28"/>
        <n v="877.92"/>
        <n v="14048.02"/>
        <n v="4343.78"/>
        <n v="6079.79"/>
        <n v="6725.84"/>
        <n v="7455.17"/>
        <n v="1663.73"/>
        <n v="1346.88"/>
        <n v="10229"/>
        <n v="2499.37"/>
        <n v="-5207.17"/>
        <n v="-2127.46"/>
        <n v="3757.6"/>
        <n v="-3568.94"/>
        <n v="3831.12"/>
        <n v="3498.99"/>
        <n v="-7151.87"/>
        <n v="14721.81"/>
        <n v="-1539.67"/>
        <n v="-999.19"/>
        <n v="7422.14"/>
        <n v="12694.26"/>
        <n v="-1781.2"/>
        <n v="11722.17"/>
        <n v="491.09"/>
        <n v="-3387.6"/>
        <n v="9161.08"/>
        <n v="-4225.88"/>
        <n v="5667.99"/>
        <n v="-7462.58"/>
        <n v="15271.89"/>
        <n v="3259.24"/>
        <n v="-2804.01"/>
        <n v="663.95"/>
        <n v="4383.21"/>
        <n v="-1990.63"/>
        <n v="-1372.17"/>
        <n v="9965.0499999999993"/>
        <n v="-294.45"/>
        <n v="10467.24"/>
        <n v="-1658.49"/>
        <n v="14393.31"/>
        <n v="-1056.57"/>
        <n v="-3223.28"/>
        <n v="3461.35"/>
        <n v="-9170.9599999999991"/>
        <n v="-1288.68"/>
        <n v="298.04000000000002"/>
        <n v="1048.49"/>
        <n v="6941.29"/>
        <n v="6628.23"/>
        <n v="6168.29"/>
        <n v="5795.61"/>
        <n v="7197.49"/>
        <n v="-4178.46"/>
        <n v="-5752.73"/>
        <n v="8502.24"/>
        <n v="1580.16"/>
        <n v="-1387.3"/>
        <n v="2904.46"/>
        <n v="-42.11"/>
        <n v="-4542.03"/>
        <n v="-529.21"/>
        <n v="4253.47"/>
        <n v="10590.06"/>
      </sharedItems>
    </cacheField>
    <cacheField name="Loss ($)" numFmtId="0">
      <sharedItems containsSemiMixedTypes="0" containsString="0" containsNumber="1" minValue="0" maxValue="9170.9599999999991"/>
    </cacheField>
    <cacheField name="Customer Count" numFmtId="0">
      <sharedItems containsSemiMixedTypes="0" containsString="0" containsNumber="1" containsInteger="1" minValue="2" maxValue="20" count="19">
        <n v="12"/>
        <n v="6"/>
        <n v="9"/>
        <n v="4"/>
        <n v="16"/>
        <n v="3"/>
        <n v="8"/>
        <n v="18"/>
        <n v="19"/>
        <n v="10"/>
        <n v="20"/>
        <n v="2"/>
        <n v="11"/>
        <n v="13"/>
        <n v="5"/>
        <n v="17"/>
        <n v="14"/>
        <n v="7"/>
        <n v="15"/>
      </sharedItems>
    </cacheField>
  </cacheFields>
  <extLst>
    <ext xmlns:x14="http://schemas.microsoft.com/office/spreadsheetml/2009/9/main" uri="{725AE2AE-9491-48be-B2B4-4EB974FC3084}">
      <x14:pivotCacheDefinition pivotCacheId="13783352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h Habiba" refreshedDate="45889.89611076389" createdVersion="8" refreshedVersion="8" minRefreshableVersion="3" recordCount="102" xr:uid="{2ACEB6EC-927E-49B4-B10C-DF330913C3A1}">
  <cacheSource type="worksheet">
    <worksheetSource ref="A1:I103" sheet="DATA"/>
  </cacheSource>
  <cacheFields count="9">
    <cacheField name="Product Name" numFmtId="0">
      <sharedItems/>
    </cacheField>
    <cacheField name="Category" numFmtId="0">
      <sharedItems/>
    </cacheField>
    <cacheField name="Year" numFmtId="0">
      <sharedItems containsSemiMixedTypes="0" containsString="0" containsNumber="1" containsInteger="1" minValue="2023" maxValue="2024"/>
    </cacheField>
    <cacheField name="Month" numFmtId="0">
      <sharedItems/>
    </cacheField>
    <cacheField name="State" numFmtId="0">
      <sharedItems/>
    </cacheField>
    <cacheField name="Customer Name" numFmtId="0">
      <sharedItems count="11">
        <s v="Saniya"/>
        <s v="rohit"/>
        <s v="robert"/>
        <s v="robin"/>
        <s v="kehkashan"/>
        <s v="swati"/>
        <s v="rubi"/>
        <s v="Ainstin"/>
        <s v="Abdul kalam"/>
        <s v="modi"/>
        <s v="sakib"/>
      </sharedItems>
    </cacheField>
    <cacheField name="Sales ($)" numFmtId="0">
      <sharedItems containsSemiMixedTypes="0" containsString="0" containsNumber="1" minValue="7045.78" maxValue="49915.53"/>
    </cacheField>
    <cacheField name="Profit ($)" numFmtId="0">
      <sharedItems containsSemiMixedTypes="0" containsString="0" containsNumber="1" minValue="-9170.9599999999991" maxValue="15271.89"/>
    </cacheField>
    <cacheField name="Customer Count" numFmtId="0">
      <sharedItems containsSemiMixedTypes="0" containsString="0" containsNumber="1" containsInteger="1" minValue="2"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x v="0"/>
    <s v="04/01/2024"/>
    <x v="0"/>
    <x v="0"/>
    <x v="0"/>
    <x v="0"/>
    <x v="0"/>
    <x v="0"/>
    <n v="3634.83"/>
    <x v="0"/>
  </r>
  <r>
    <x v="1"/>
    <x v="1"/>
    <s v="03/21/2024"/>
    <x v="0"/>
    <x v="1"/>
    <x v="1"/>
    <x v="1"/>
    <x v="1"/>
    <x v="1"/>
    <n v="0"/>
    <x v="1"/>
  </r>
  <r>
    <x v="2"/>
    <x v="2"/>
    <s v="02/01/2023"/>
    <x v="1"/>
    <x v="2"/>
    <x v="2"/>
    <x v="2"/>
    <x v="2"/>
    <x v="2"/>
    <n v="623.76"/>
    <x v="0"/>
  </r>
  <r>
    <x v="3"/>
    <x v="3"/>
    <s v="01/06/2024"/>
    <x v="0"/>
    <x v="3"/>
    <x v="3"/>
    <x v="3"/>
    <x v="3"/>
    <x v="3"/>
    <n v="0"/>
    <x v="0"/>
  </r>
  <r>
    <x v="4"/>
    <x v="3"/>
    <s v="01/16/2024"/>
    <x v="0"/>
    <x v="3"/>
    <x v="4"/>
    <x v="4"/>
    <x v="4"/>
    <x v="4"/>
    <n v="0"/>
    <x v="2"/>
  </r>
  <r>
    <x v="5"/>
    <x v="4"/>
    <s v="09/13/2023"/>
    <x v="1"/>
    <x v="4"/>
    <x v="0"/>
    <x v="0"/>
    <x v="5"/>
    <x v="5"/>
    <n v="0"/>
    <x v="3"/>
  </r>
  <r>
    <x v="6"/>
    <x v="1"/>
    <s v="09/26/2023"/>
    <x v="1"/>
    <x v="4"/>
    <x v="5"/>
    <x v="3"/>
    <x v="6"/>
    <x v="6"/>
    <n v="0"/>
    <x v="4"/>
  </r>
  <r>
    <x v="7"/>
    <x v="4"/>
    <s v="07/24/2023"/>
    <x v="1"/>
    <x v="5"/>
    <x v="1"/>
    <x v="0"/>
    <x v="7"/>
    <x v="7"/>
    <n v="0"/>
    <x v="5"/>
  </r>
  <r>
    <x v="1"/>
    <x v="1"/>
    <s v="11/24/2023"/>
    <x v="1"/>
    <x v="6"/>
    <x v="6"/>
    <x v="5"/>
    <x v="8"/>
    <x v="8"/>
    <n v="361.8"/>
    <x v="1"/>
  </r>
  <r>
    <x v="8"/>
    <x v="1"/>
    <s v="06/28/2023"/>
    <x v="1"/>
    <x v="7"/>
    <x v="5"/>
    <x v="6"/>
    <x v="9"/>
    <x v="9"/>
    <n v="0"/>
    <x v="6"/>
  </r>
  <r>
    <x v="9"/>
    <x v="4"/>
    <s v="05/20/2024"/>
    <x v="0"/>
    <x v="8"/>
    <x v="6"/>
    <x v="3"/>
    <x v="10"/>
    <x v="10"/>
    <n v="0"/>
    <x v="7"/>
  </r>
  <r>
    <x v="10"/>
    <x v="0"/>
    <s v="05/13/2023"/>
    <x v="1"/>
    <x v="8"/>
    <x v="1"/>
    <x v="7"/>
    <x v="11"/>
    <x v="11"/>
    <n v="0"/>
    <x v="4"/>
  </r>
  <r>
    <x v="11"/>
    <x v="3"/>
    <s v="06/22/2024"/>
    <x v="0"/>
    <x v="7"/>
    <x v="4"/>
    <x v="6"/>
    <x v="12"/>
    <x v="12"/>
    <n v="104.09"/>
    <x v="5"/>
  </r>
  <r>
    <x v="3"/>
    <x v="3"/>
    <s v="04/05/2024"/>
    <x v="0"/>
    <x v="0"/>
    <x v="7"/>
    <x v="4"/>
    <x v="13"/>
    <x v="13"/>
    <n v="0"/>
    <x v="8"/>
  </r>
  <r>
    <x v="12"/>
    <x v="2"/>
    <s v="07/06/2023"/>
    <x v="1"/>
    <x v="5"/>
    <x v="6"/>
    <x v="2"/>
    <x v="14"/>
    <x v="14"/>
    <n v="0"/>
    <x v="9"/>
  </r>
  <r>
    <x v="13"/>
    <x v="2"/>
    <s v="06/18/2023"/>
    <x v="1"/>
    <x v="7"/>
    <x v="5"/>
    <x v="8"/>
    <x v="15"/>
    <x v="15"/>
    <n v="0"/>
    <x v="9"/>
  </r>
  <r>
    <x v="14"/>
    <x v="1"/>
    <s v="03/22/2023"/>
    <x v="1"/>
    <x v="1"/>
    <x v="6"/>
    <x v="7"/>
    <x v="16"/>
    <x v="16"/>
    <n v="194.63"/>
    <x v="7"/>
  </r>
  <r>
    <x v="15"/>
    <x v="0"/>
    <s v="04/06/2023"/>
    <x v="1"/>
    <x v="0"/>
    <x v="4"/>
    <x v="3"/>
    <x v="17"/>
    <x v="17"/>
    <n v="0"/>
    <x v="10"/>
  </r>
  <r>
    <x v="10"/>
    <x v="0"/>
    <s v="12/12/2023"/>
    <x v="1"/>
    <x v="9"/>
    <x v="3"/>
    <x v="6"/>
    <x v="18"/>
    <x v="18"/>
    <n v="0"/>
    <x v="8"/>
  </r>
  <r>
    <x v="2"/>
    <x v="2"/>
    <s v="09/29/2023"/>
    <x v="1"/>
    <x v="4"/>
    <x v="8"/>
    <x v="3"/>
    <x v="19"/>
    <x v="19"/>
    <n v="0"/>
    <x v="7"/>
  </r>
  <r>
    <x v="6"/>
    <x v="1"/>
    <s v="10/24/2023"/>
    <x v="1"/>
    <x v="10"/>
    <x v="5"/>
    <x v="1"/>
    <x v="20"/>
    <x v="20"/>
    <n v="2871.96"/>
    <x v="11"/>
  </r>
  <r>
    <x v="11"/>
    <x v="3"/>
    <s v="06/11/2023"/>
    <x v="1"/>
    <x v="7"/>
    <x v="2"/>
    <x v="0"/>
    <x v="21"/>
    <x v="21"/>
    <n v="0"/>
    <x v="12"/>
  </r>
  <r>
    <x v="6"/>
    <x v="1"/>
    <s v="11/23/2023"/>
    <x v="1"/>
    <x v="6"/>
    <x v="0"/>
    <x v="8"/>
    <x v="22"/>
    <x v="22"/>
    <n v="3839.84"/>
    <x v="6"/>
  </r>
  <r>
    <x v="9"/>
    <x v="4"/>
    <s v="04/22/2024"/>
    <x v="0"/>
    <x v="0"/>
    <x v="2"/>
    <x v="9"/>
    <x v="23"/>
    <x v="23"/>
    <n v="1923.6"/>
    <x v="13"/>
  </r>
  <r>
    <x v="16"/>
    <x v="2"/>
    <s v="03/04/2024"/>
    <x v="0"/>
    <x v="1"/>
    <x v="7"/>
    <x v="3"/>
    <x v="24"/>
    <x v="24"/>
    <n v="3224.49"/>
    <x v="1"/>
  </r>
  <r>
    <x v="0"/>
    <x v="0"/>
    <s v="05/25/2024"/>
    <x v="0"/>
    <x v="8"/>
    <x v="2"/>
    <x v="7"/>
    <x v="25"/>
    <x v="25"/>
    <n v="3996.92"/>
    <x v="13"/>
  </r>
  <r>
    <x v="17"/>
    <x v="3"/>
    <s v="06/01/2024"/>
    <x v="0"/>
    <x v="7"/>
    <x v="5"/>
    <x v="3"/>
    <x v="26"/>
    <x v="26"/>
    <n v="3542.88"/>
    <x v="4"/>
  </r>
  <r>
    <x v="8"/>
    <x v="1"/>
    <s v="04/26/2024"/>
    <x v="0"/>
    <x v="0"/>
    <x v="3"/>
    <x v="6"/>
    <x v="27"/>
    <x v="27"/>
    <n v="0"/>
    <x v="0"/>
  </r>
  <r>
    <x v="1"/>
    <x v="1"/>
    <s v="02/17/2024"/>
    <x v="0"/>
    <x v="2"/>
    <x v="8"/>
    <x v="2"/>
    <x v="28"/>
    <x v="28"/>
    <n v="2551.34"/>
    <x v="7"/>
  </r>
  <r>
    <x v="18"/>
    <x v="4"/>
    <s v="10/23/2023"/>
    <x v="1"/>
    <x v="10"/>
    <x v="6"/>
    <x v="0"/>
    <x v="29"/>
    <x v="29"/>
    <n v="1267.3399999999999"/>
    <x v="10"/>
  </r>
  <r>
    <x v="19"/>
    <x v="2"/>
    <s v="05/02/2023"/>
    <x v="1"/>
    <x v="8"/>
    <x v="8"/>
    <x v="8"/>
    <x v="30"/>
    <x v="30"/>
    <n v="0"/>
    <x v="0"/>
  </r>
  <r>
    <x v="2"/>
    <x v="2"/>
    <s v="05/28/2023"/>
    <x v="1"/>
    <x v="8"/>
    <x v="6"/>
    <x v="1"/>
    <x v="31"/>
    <x v="31"/>
    <n v="4753.1000000000004"/>
    <x v="14"/>
  </r>
  <r>
    <x v="3"/>
    <x v="3"/>
    <s v="12/08/2023"/>
    <x v="1"/>
    <x v="9"/>
    <x v="2"/>
    <x v="4"/>
    <x v="32"/>
    <x v="32"/>
    <n v="0"/>
    <x v="12"/>
  </r>
  <r>
    <x v="12"/>
    <x v="2"/>
    <s v="11/23/2023"/>
    <x v="1"/>
    <x v="6"/>
    <x v="4"/>
    <x v="7"/>
    <x v="33"/>
    <x v="33"/>
    <n v="0"/>
    <x v="15"/>
  </r>
  <r>
    <x v="3"/>
    <x v="3"/>
    <s v="06/29/2024"/>
    <x v="0"/>
    <x v="7"/>
    <x v="9"/>
    <x v="0"/>
    <x v="34"/>
    <x v="34"/>
    <n v="0"/>
    <x v="3"/>
  </r>
  <r>
    <x v="20"/>
    <x v="0"/>
    <s v="03/02/2024"/>
    <x v="0"/>
    <x v="1"/>
    <x v="3"/>
    <x v="3"/>
    <x v="35"/>
    <x v="35"/>
    <n v="0"/>
    <x v="8"/>
  </r>
  <r>
    <x v="21"/>
    <x v="4"/>
    <s v="08/22/2023"/>
    <x v="1"/>
    <x v="11"/>
    <x v="2"/>
    <x v="4"/>
    <x v="36"/>
    <x v="36"/>
    <n v="0"/>
    <x v="13"/>
  </r>
  <r>
    <x v="19"/>
    <x v="2"/>
    <s v="06/01/2023"/>
    <x v="1"/>
    <x v="7"/>
    <x v="4"/>
    <x v="6"/>
    <x v="37"/>
    <x v="37"/>
    <n v="0"/>
    <x v="16"/>
  </r>
  <r>
    <x v="17"/>
    <x v="3"/>
    <s v="06/05/2023"/>
    <x v="1"/>
    <x v="7"/>
    <x v="8"/>
    <x v="5"/>
    <x v="38"/>
    <x v="38"/>
    <n v="0"/>
    <x v="11"/>
  </r>
  <r>
    <x v="15"/>
    <x v="0"/>
    <s v="05/22/2023"/>
    <x v="1"/>
    <x v="8"/>
    <x v="6"/>
    <x v="8"/>
    <x v="39"/>
    <x v="39"/>
    <n v="0"/>
    <x v="13"/>
  </r>
  <r>
    <x v="12"/>
    <x v="2"/>
    <s v="11/18/2023"/>
    <x v="1"/>
    <x v="6"/>
    <x v="6"/>
    <x v="8"/>
    <x v="40"/>
    <x v="40"/>
    <n v="0"/>
    <x v="2"/>
  </r>
  <r>
    <x v="16"/>
    <x v="2"/>
    <s v="05/10/2024"/>
    <x v="0"/>
    <x v="8"/>
    <x v="9"/>
    <x v="5"/>
    <x v="41"/>
    <x v="41"/>
    <n v="0"/>
    <x v="9"/>
  </r>
  <r>
    <x v="12"/>
    <x v="2"/>
    <s v="10/23/2023"/>
    <x v="1"/>
    <x v="10"/>
    <x v="7"/>
    <x v="0"/>
    <x v="42"/>
    <x v="42"/>
    <n v="0"/>
    <x v="2"/>
  </r>
  <r>
    <x v="21"/>
    <x v="4"/>
    <s v="10/22/2023"/>
    <x v="1"/>
    <x v="10"/>
    <x v="6"/>
    <x v="1"/>
    <x v="43"/>
    <x v="43"/>
    <n v="0"/>
    <x v="0"/>
  </r>
  <r>
    <x v="1"/>
    <x v="1"/>
    <s v="05/30/2023"/>
    <x v="1"/>
    <x v="8"/>
    <x v="9"/>
    <x v="6"/>
    <x v="44"/>
    <x v="44"/>
    <n v="0"/>
    <x v="2"/>
  </r>
  <r>
    <x v="16"/>
    <x v="2"/>
    <s v="05/05/2024"/>
    <x v="0"/>
    <x v="8"/>
    <x v="6"/>
    <x v="7"/>
    <x v="45"/>
    <x v="45"/>
    <n v="0"/>
    <x v="14"/>
  </r>
  <r>
    <x v="22"/>
    <x v="0"/>
    <s v="04/22/2023"/>
    <x v="1"/>
    <x v="0"/>
    <x v="5"/>
    <x v="9"/>
    <x v="46"/>
    <x v="46"/>
    <n v="0"/>
    <x v="6"/>
  </r>
  <r>
    <x v="5"/>
    <x v="4"/>
    <s v="08/27/2023"/>
    <x v="1"/>
    <x v="11"/>
    <x v="8"/>
    <x v="8"/>
    <x v="47"/>
    <x v="47"/>
    <n v="5207.17"/>
    <x v="14"/>
  </r>
  <r>
    <x v="15"/>
    <x v="0"/>
    <s v="01/06/2023"/>
    <x v="1"/>
    <x v="3"/>
    <x v="8"/>
    <x v="0"/>
    <x v="48"/>
    <x v="48"/>
    <n v="2127.46"/>
    <x v="9"/>
  </r>
  <r>
    <x v="1"/>
    <x v="1"/>
    <s v="11/25/2023"/>
    <x v="1"/>
    <x v="6"/>
    <x v="1"/>
    <x v="3"/>
    <x v="49"/>
    <x v="49"/>
    <n v="0"/>
    <x v="11"/>
  </r>
  <r>
    <x v="17"/>
    <x v="3"/>
    <s v="06/29/2023"/>
    <x v="1"/>
    <x v="7"/>
    <x v="3"/>
    <x v="1"/>
    <x v="50"/>
    <x v="50"/>
    <n v="3568.94"/>
    <x v="9"/>
  </r>
  <r>
    <x v="9"/>
    <x v="4"/>
    <s v="02/08/2023"/>
    <x v="1"/>
    <x v="2"/>
    <x v="4"/>
    <x v="3"/>
    <x v="51"/>
    <x v="51"/>
    <n v="0"/>
    <x v="9"/>
  </r>
  <r>
    <x v="22"/>
    <x v="0"/>
    <s v="04/10/2024"/>
    <x v="0"/>
    <x v="0"/>
    <x v="2"/>
    <x v="4"/>
    <x v="52"/>
    <x v="52"/>
    <n v="0"/>
    <x v="17"/>
  </r>
  <r>
    <x v="14"/>
    <x v="1"/>
    <s v="04/26/2023"/>
    <x v="1"/>
    <x v="0"/>
    <x v="2"/>
    <x v="7"/>
    <x v="53"/>
    <x v="53"/>
    <n v="7151.87"/>
    <x v="12"/>
  </r>
  <r>
    <x v="15"/>
    <x v="0"/>
    <s v="10/30/2023"/>
    <x v="1"/>
    <x v="10"/>
    <x v="0"/>
    <x v="3"/>
    <x v="54"/>
    <x v="54"/>
    <n v="0"/>
    <x v="16"/>
  </r>
  <r>
    <x v="1"/>
    <x v="1"/>
    <s v="06/11/2024"/>
    <x v="0"/>
    <x v="7"/>
    <x v="8"/>
    <x v="6"/>
    <x v="55"/>
    <x v="55"/>
    <n v="1539.67"/>
    <x v="12"/>
  </r>
  <r>
    <x v="9"/>
    <x v="4"/>
    <s v="09/12/2023"/>
    <x v="1"/>
    <x v="4"/>
    <x v="8"/>
    <x v="9"/>
    <x v="56"/>
    <x v="56"/>
    <n v="999.19"/>
    <x v="12"/>
  </r>
  <r>
    <x v="22"/>
    <x v="0"/>
    <s v="11/06/2023"/>
    <x v="1"/>
    <x v="6"/>
    <x v="3"/>
    <x v="7"/>
    <x v="57"/>
    <x v="57"/>
    <n v="0"/>
    <x v="11"/>
  </r>
  <r>
    <x v="23"/>
    <x v="3"/>
    <s v="05/02/2023"/>
    <x v="1"/>
    <x v="8"/>
    <x v="0"/>
    <x v="1"/>
    <x v="58"/>
    <x v="58"/>
    <n v="0"/>
    <x v="9"/>
  </r>
  <r>
    <x v="24"/>
    <x v="1"/>
    <s v="05/01/2023"/>
    <x v="1"/>
    <x v="8"/>
    <x v="4"/>
    <x v="9"/>
    <x v="59"/>
    <x v="59"/>
    <n v="1781.2"/>
    <x v="14"/>
  </r>
  <r>
    <x v="20"/>
    <x v="0"/>
    <s v="04/10/2024"/>
    <x v="0"/>
    <x v="0"/>
    <x v="8"/>
    <x v="5"/>
    <x v="60"/>
    <x v="60"/>
    <n v="0"/>
    <x v="17"/>
  </r>
  <r>
    <x v="10"/>
    <x v="0"/>
    <s v="09/11/2023"/>
    <x v="1"/>
    <x v="4"/>
    <x v="6"/>
    <x v="0"/>
    <x v="61"/>
    <x v="61"/>
    <n v="0"/>
    <x v="8"/>
  </r>
  <r>
    <x v="21"/>
    <x v="4"/>
    <s v="04/25/2023"/>
    <x v="1"/>
    <x v="0"/>
    <x v="6"/>
    <x v="9"/>
    <x v="62"/>
    <x v="62"/>
    <n v="3387.6"/>
    <x v="12"/>
  </r>
  <r>
    <x v="4"/>
    <x v="3"/>
    <s v="06/16/2024"/>
    <x v="0"/>
    <x v="7"/>
    <x v="5"/>
    <x v="3"/>
    <x v="63"/>
    <x v="63"/>
    <n v="0"/>
    <x v="18"/>
  </r>
  <r>
    <x v="17"/>
    <x v="3"/>
    <s v="02/26/2023"/>
    <x v="1"/>
    <x v="2"/>
    <x v="6"/>
    <x v="1"/>
    <x v="64"/>
    <x v="64"/>
    <n v="4225.88"/>
    <x v="18"/>
  </r>
  <r>
    <x v="18"/>
    <x v="4"/>
    <s v="11/12/2023"/>
    <x v="1"/>
    <x v="6"/>
    <x v="9"/>
    <x v="2"/>
    <x v="65"/>
    <x v="65"/>
    <n v="0"/>
    <x v="11"/>
  </r>
  <r>
    <x v="1"/>
    <x v="1"/>
    <s v="03/09/2024"/>
    <x v="0"/>
    <x v="1"/>
    <x v="6"/>
    <x v="2"/>
    <x v="66"/>
    <x v="66"/>
    <n v="7462.58"/>
    <x v="4"/>
  </r>
  <r>
    <x v="6"/>
    <x v="1"/>
    <s v="02/02/2023"/>
    <x v="1"/>
    <x v="2"/>
    <x v="0"/>
    <x v="4"/>
    <x v="67"/>
    <x v="67"/>
    <n v="0"/>
    <x v="16"/>
  </r>
  <r>
    <x v="11"/>
    <x v="3"/>
    <s v="01/19/2024"/>
    <x v="0"/>
    <x v="3"/>
    <x v="8"/>
    <x v="1"/>
    <x v="68"/>
    <x v="68"/>
    <n v="0"/>
    <x v="7"/>
  </r>
  <r>
    <x v="1"/>
    <x v="1"/>
    <s v="05/17/2023"/>
    <x v="1"/>
    <x v="8"/>
    <x v="0"/>
    <x v="5"/>
    <x v="69"/>
    <x v="69"/>
    <n v="2804.01"/>
    <x v="6"/>
  </r>
  <r>
    <x v="9"/>
    <x v="4"/>
    <s v="01/04/2023"/>
    <x v="1"/>
    <x v="3"/>
    <x v="2"/>
    <x v="5"/>
    <x v="70"/>
    <x v="70"/>
    <n v="0"/>
    <x v="6"/>
  </r>
  <r>
    <x v="23"/>
    <x v="3"/>
    <s v="09/11/2023"/>
    <x v="1"/>
    <x v="4"/>
    <x v="0"/>
    <x v="7"/>
    <x v="71"/>
    <x v="71"/>
    <n v="0"/>
    <x v="3"/>
  </r>
  <r>
    <x v="3"/>
    <x v="3"/>
    <s v="02/02/2023"/>
    <x v="1"/>
    <x v="2"/>
    <x v="3"/>
    <x v="9"/>
    <x v="72"/>
    <x v="72"/>
    <n v="1990.63"/>
    <x v="11"/>
  </r>
  <r>
    <x v="10"/>
    <x v="0"/>
    <s v="04/02/2024"/>
    <x v="0"/>
    <x v="0"/>
    <x v="5"/>
    <x v="2"/>
    <x v="73"/>
    <x v="73"/>
    <n v="1372.17"/>
    <x v="17"/>
  </r>
  <r>
    <x v="2"/>
    <x v="2"/>
    <s v="02/27/2023"/>
    <x v="1"/>
    <x v="2"/>
    <x v="9"/>
    <x v="9"/>
    <x v="74"/>
    <x v="74"/>
    <n v="0"/>
    <x v="12"/>
  </r>
  <r>
    <x v="13"/>
    <x v="2"/>
    <s v="11/25/2023"/>
    <x v="1"/>
    <x v="6"/>
    <x v="0"/>
    <x v="5"/>
    <x v="75"/>
    <x v="75"/>
    <n v="294.45"/>
    <x v="11"/>
  </r>
  <r>
    <x v="15"/>
    <x v="0"/>
    <s v="07/24/2024"/>
    <x v="0"/>
    <x v="5"/>
    <x v="8"/>
    <x v="5"/>
    <x v="76"/>
    <x v="76"/>
    <n v="0"/>
    <x v="13"/>
  </r>
  <r>
    <x v="6"/>
    <x v="1"/>
    <s v="06/21/2024"/>
    <x v="0"/>
    <x v="7"/>
    <x v="8"/>
    <x v="4"/>
    <x v="77"/>
    <x v="77"/>
    <n v="1658.49"/>
    <x v="7"/>
  </r>
  <r>
    <x v="16"/>
    <x v="2"/>
    <s v="04/29/2024"/>
    <x v="0"/>
    <x v="0"/>
    <x v="9"/>
    <x v="4"/>
    <x v="78"/>
    <x v="78"/>
    <n v="0"/>
    <x v="7"/>
  </r>
  <r>
    <x v="3"/>
    <x v="3"/>
    <s v="02/27/2024"/>
    <x v="0"/>
    <x v="2"/>
    <x v="6"/>
    <x v="4"/>
    <x v="79"/>
    <x v="79"/>
    <n v="1056.57"/>
    <x v="12"/>
  </r>
  <r>
    <x v="23"/>
    <x v="3"/>
    <s v="03/22/2023"/>
    <x v="1"/>
    <x v="1"/>
    <x v="1"/>
    <x v="5"/>
    <x v="80"/>
    <x v="80"/>
    <n v="3223.28"/>
    <x v="2"/>
  </r>
  <r>
    <x v="22"/>
    <x v="0"/>
    <s v="01/22/2024"/>
    <x v="0"/>
    <x v="3"/>
    <x v="3"/>
    <x v="6"/>
    <x v="81"/>
    <x v="81"/>
    <n v="0"/>
    <x v="7"/>
  </r>
  <r>
    <x v="17"/>
    <x v="3"/>
    <s v="08/11/2023"/>
    <x v="1"/>
    <x v="11"/>
    <x v="7"/>
    <x v="7"/>
    <x v="82"/>
    <x v="82"/>
    <n v="9170.9599999999991"/>
    <x v="17"/>
  </r>
  <r>
    <x v="17"/>
    <x v="3"/>
    <s v="05/01/2023"/>
    <x v="1"/>
    <x v="8"/>
    <x v="4"/>
    <x v="9"/>
    <x v="83"/>
    <x v="83"/>
    <n v="1288.68"/>
    <x v="12"/>
  </r>
  <r>
    <x v="11"/>
    <x v="3"/>
    <s v="10/17/2023"/>
    <x v="1"/>
    <x v="10"/>
    <x v="6"/>
    <x v="8"/>
    <x v="84"/>
    <x v="84"/>
    <n v="0"/>
    <x v="4"/>
  </r>
  <r>
    <x v="18"/>
    <x v="4"/>
    <s v="04/22/2024"/>
    <x v="0"/>
    <x v="0"/>
    <x v="7"/>
    <x v="9"/>
    <x v="85"/>
    <x v="85"/>
    <n v="0"/>
    <x v="8"/>
  </r>
  <r>
    <x v="19"/>
    <x v="2"/>
    <s v="08/15/2023"/>
    <x v="1"/>
    <x v="11"/>
    <x v="9"/>
    <x v="5"/>
    <x v="86"/>
    <x v="86"/>
    <n v="0"/>
    <x v="16"/>
  </r>
  <r>
    <x v="16"/>
    <x v="2"/>
    <s v="10/30/2023"/>
    <x v="1"/>
    <x v="10"/>
    <x v="7"/>
    <x v="9"/>
    <x v="87"/>
    <x v="87"/>
    <n v="0"/>
    <x v="4"/>
  </r>
  <r>
    <x v="24"/>
    <x v="1"/>
    <s v="07/17/2024"/>
    <x v="0"/>
    <x v="5"/>
    <x v="2"/>
    <x v="0"/>
    <x v="88"/>
    <x v="88"/>
    <n v="0"/>
    <x v="0"/>
  </r>
  <r>
    <x v="2"/>
    <x v="2"/>
    <s v="06/23/2023"/>
    <x v="1"/>
    <x v="7"/>
    <x v="2"/>
    <x v="4"/>
    <x v="89"/>
    <x v="89"/>
    <n v="0"/>
    <x v="11"/>
  </r>
  <r>
    <x v="5"/>
    <x v="4"/>
    <s v="06/20/2024"/>
    <x v="0"/>
    <x v="7"/>
    <x v="3"/>
    <x v="2"/>
    <x v="90"/>
    <x v="90"/>
    <n v="0"/>
    <x v="6"/>
  </r>
  <r>
    <x v="19"/>
    <x v="2"/>
    <s v="03/11/2023"/>
    <x v="1"/>
    <x v="1"/>
    <x v="5"/>
    <x v="5"/>
    <x v="91"/>
    <x v="91"/>
    <n v="4178.46"/>
    <x v="10"/>
  </r>
  <r>
    <x v="4"/>
    <x v="3"/>
    <s v="05/09/2024"/>
    <x v="0"/>
    <x v="8"/>
    <x v="3"/>
    <x v="5"/>
    <x v="92"/>
    <x v="92"/>
    <n v="5752.73"/>
    <x v="15"/>
  </r>
  <r>
    <x v="20"/>
    <x v="0"/>
    <s v="10/09/2023"/>
    <x v="1"/>
    <x v="10"/>
    <x v="3"/>
    <x v="5"/>
    <x v="93"/>
    <x v="93"/>
    <n v="0"/>
    <x v="1"/>
  </r>
  <r>
    <x v="21"/>
    <x v="4"/>
    <s v="04/20/2023"/>
    <x v="1"/>
    <x v="0"/>
    <x v="0"/>
    <x v="9"/>
    <x v="94"/>
    <x v="94"/>
    <n v="0"/>
    <x v="0"/>
  </r>
  <r>
    <x v="4"/>
    <x v="3"/>
    <s v="10/01/2023"/>
    <x v="1"/>
    <x v="10"/>
    <x v="7"/>
    <x v="1"/>
    <x v="95"/>
    <x v="95"/>
    <n v="1387.3"/>
    <x v="6"/>
  </r>
  <r>
    <x v="5"/>
    <x v="4"/>
    <s v="11/04/2023"/>
    <x v="1"/>
    <x v="6"/>
    <x v="1"/>
    <x v="1"/>
    <x v="96"/>
    <x v="96"/>
    <n v="0"/>
    <x v="11"/>
  </r>
  <r>
    <x v="19"/>
    <x v="2"/>
    <s v="01/10/2023"/>
    <x v="1"/>
    <x v="3"/>
    <x v="2"/>
    <x v="1"/>
    <x v="97"/>
    <x v="97"/>
    <n v="42.11"/>
    <x v="3"/>
  </r>
  <r>
    <x v="7"/>
    <x v="4"/>
    <s v="06/24/2024"/>
    <x v="0"/>
    <x v="7"/>
    <x v="5"/>
    <x v="3"/>
    <x v="98"/>
    <x v="98"/>
    <n v="4542.03"/>
    <x v="5"/>
  </r>
  <r>
    <x v="22"/>
    <x v="0"/>
    <s v="10/15/2023"/>
    <x v="1"/>
    <x v="10"/>
    <x v="3"/>
    <x v="4"/>
    <x v="99"/>
    <x v="99"/>
    <n v="529.21"/>
    <x v="17"/>
  </r>
  <r>
    <x v="4"/>
    <x v="3"/>
    <s v="05/28/2023"/>
    <x v="1"/>
    <x v="8"/>
    <x v="9"/>
    <x v="4"/>
    <x v="100"/>
    <x v="100"/>
    <n v="0"/>
    <x v="13"/>
  </r>
  <r>
    <x v="6"/>
    <x v="1"/>
    <s v="07/07/2024"/>
    <x v="0"/>
    <x v="5"/>
    <x v="0"/>
    <x v="6"/>
    <x v="101"/>
    <x v="101"/>
    <n v="0"/>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IT Strategy Planning"/>
    <s v="Consulting"/>
    <n v="2024"/>
    <s v="April"/>
    <s v="New York"/>
    <x v="0"/>
    <n v="20819.61"/>
    <n v="-3634.83"/>
    <n v="12"/>
  </r>
  <r>
    <s v="AWS S3 Storage Plan"/>
    <s v="Cloud"/>
    <n v="2024"/>
    <s v="March"/>
    <s v="Texas"/>
    <x v="1"/>
    <n v="21349"/>
    <n v="5991.76"/>
    <n v="6"/>
  </r>
  <r>
    <s v="SAP Business One"/>
    <s v="Software"/>
    <n v="2023"/>
    <s v="February"/>
    <s v="Georgia"/>
    <x v="2"/>
    <n v="10680.35"/>
    <n v="-623.76"/>
    <n v="12"/>
  </r>
  <r>
    <s v="Server Maintenance Contract"/>
    <s v="Support"/>
    <n v="2024"/>
    <s v="January"/>
    <s v="California"/>
    <x v="2"/>
    <n v="11904.72"/>
    <n v="832.78"/>
    <n v="12"/>
  </r>
  <r>
    <s v="IT Helpdesk Subscription"/>
    <s v="Support"/>
    <n v="2024"/>
    <s v="January"/>
    <s v="Colorado"/>
    <x v="3"/>
    <n v="28825.69"/>
    <n v="1119.03"/>
    <n v="9"/>
  </r>
  <r>
    <s v="Dell Latitude 5420 Laptop"/>
    <s v="Hardware"/>
    <n v="2023"/>
    <s v="September"/>
    <s v="New York"/>
    <x v="4"/>
    <n v="28298.54"/>
    <n v="9851.44"/>
    <n v="4"/>
  </r>
  <r>
    <s v="Dropbox Business Plan"/>
    <s v="Cloud"/>
    <n v="2023"/>
    <s v="September"/>
    <s v="Florida"/>
    <x v="5"/>
    <n v="17850.96"/>
    <n v="6245.83"/>
    <n v="16"/>
  </r>
  <r>
    <s v="HP ProDesk 600 Desktop"/>
    <s v="Hardware"/>
    <n v="2023"/>
    <s v="July"/>
    <s v="Texas"/>
    <x v="6"/>
    <n v="12769.54"/>
    <n v="2911.74"/>
    <n v="3"/>
  </r>
  <r>
    <s v="AWS S3 Storage Plan"/>
    <s v="Cloud"/>
    <n v="2023"/>
    <s v="November"/>
    <s v="Virginia"/>
    <x v="7"/>
    <n v="18066.3"/>
    <n v="-361.8"/>
    <n v="6"/>
  </r>
  <r>
    <s v="IBM Cloud Hosting"/>
    <s v="Cloud"/>
    <n v="2023"/>
    <s v="June"/>
    <s v="Florida"/>
    <x v="8"/>
    <n v="49330.96"/>
    <n v="13577.82"/>
    <n v="8"/>
  </r>
  <r>
    <s v="Cisco Catalyst Switch"/>
    <s v="Hardware"/>
    <n v="2024"/>
    <s v="May"/>
    <s v="Virginia"/>
    <x v="9"/>
    <n v="21601"/>
    <n v="6095.74"/>
    <n v="18"/>
  </r>
  <r>
    <s v="Infrastructure Consulting"/>
    <s v="Consulting"/>
    <n v="2023"/>
    <s v="May"/>
    <s v="Texas"/>
    <x v="0"/>
    <n v="22917.200000000001"/>
    <n v="5274.63"/>
    <n v="16"/>
  </r>
  <r>
    <s v="Security Patch Service"/>
    <s v="Support"/>
    <n v="2024"/>
    <s v="June"/>
    <s v="Colorado"/>
    <x v="1"/>
    <n v="10639.71"/>
    <n v="-104.09"/>
    <n v="3"/>
  </r>
  <r>
    <s v="Server Maintenance Contract"/>
    <s v="Support"/>
    <n v="2024"/>
    <s v="April"/>
    <s v="Washington"/>
    <x v="2"/>
    <n v="44508.21"/>
    <n v="11935.22"/>
    <n v="19"/>
  </r>
  <r>
    <s v="AutoCAD License"/>
    <s v="Software"/>
    <n v="2023"/>
    <s v="July"/>
    <s v="Virginia"/>
    <x v="2"/>
    <n v="42412.59"/>
    <n v="4701.91"/>
    <n v="10"/>
  </r>
  <r>
    <s v="QuickBooks Enterprise"/>
    <s v="Software"/>
    <n v="2023"/>
    <s v="June"/>
    <s v="Florida"/>
    <x v="3"/>
    <n v="47636.74"/>
    <n v="5303.81"/>
    <n v="10"/>
  </r>
  <r>
    <s v="Microsoft Azure VM"/>
    <s v="Cloud"/>
    <n v="2023"/>
    <s v="March"/>
    <s v="Virginia"/>
    <x v="4"/>
    <n v="10632.66"/>
    <n v="-194.63"/>
    <n v="18"/>
  </r>
  <r>
    <s v="Digital Transformation Advisory"/>
    <s v="Consulting"/>
    <n v="2023"/>
    <s v="April"/>
    <s v="Colorado"/>
    <x v="5"/>
    <n v="11938.74"/>
    <n v="2330.92"/>
    <n v="20"/>
  </r>
  <r>
    <s v="Infrastructure Consulting"/>
    <s v="Consulting"/>
    <n v="2023"/>
    <s v="December"/>
    <s v="California"/>
    <x v="6"/>
    <n v="7045.78"/>
    <n v="1302.57"/>
    <n v="19"/>
  </r>
  <r>
    <s v="SAP Business One"/>
    <s v="Software"/>
    <n v="2023"/>
    <s v="September"/>
    <s v="Massachusetts"/>
    <x v="7"/>
    <n v="33754.6"/>
    <n v="3335.73"/>
    <n v="18"/>
  </r>
  <r>
    <s v="Dropbox Business Plan"/>
    <s v="Cloud"/>
    <n v="2023"/>
    <s v="October"/>
    <s v="Florida"/>
    <x v="8"/>
    <n v="18384.52"/>
    <n v="-2871.96"/>
    <n v="2"/>
  </r>
  <r>
    <s v="Security Patch Service"/>
    <s v="Support"/>
    <n v="2023"/>
    <s v="June"/>
    <s v="Georgia"/>
    <x v="0"/>
    <n v="14181.04"/>
    <n v="2325.64"/>
    <n v="11"/>
  </r>
  <r>
    <s v="Dropbox Business Plan"/>
    <s v="Cloud"/>
    <n v="2023"/>
    <s v="November"/>
    <s v="New York"/>
    <x v="1"/>
    <n v="28174.11"/>
    <n v="-3839.84"/>
    <n v="8"/>
  </r>
  <r>
    <s v="Cisco Catalyst Switch"/>
    <s v="Hardware"/>
    <n v="2024"/>
    <s v="April"/>
    <s v="Georgia"/>
    <x v="2"/>
    <n v="11339.49"/>
    <n v="-1923.6"/>
    <n v="13"/>
  </r>
  <r>
    <s v="Adobe Creative Cloud"/>
    <s v="Software"/>
    <n v="2024"/>
    <s v="March"/>
    <s v="Washington"/>
    <x v="2"/>
    <n v="37450.78"/>
    <n v="-3224.49"/>
    <n v="6"/>
  </r>
  <r>
    <s v="IT Strategy Planning"/>
    <s v="Consulting"/>
    <n v="2024"/>
    <s v="May"/>
    <s v="Georgia"/>
    <x v="3"/>
    <n v="27381.66"/>
    <n v="-3996.92"/>
    <n v="13"/>
  </r>
  <r>
    <s v="Onsite Hardware Repair"/>
    <s v="Support"/>
    <n v="2024"/>
    <s v="June"/>
    <s v="Florida"/>
    <x v="4"/>
    <n v="20880.28"/>
    <n v="-3542.88"/>
    <n v="16"/>
  </r>
  <r>
    <s v="IBM Cloud Hosting"/>
    <s v="Cloud"/>
    <n v="2024"/>
    <s v="April"/>
    <s v="California"/>
    <x v="5"/>
    <n v="24391.75"/>
    <n v="8036.43"/>
    <n v="12"/>
  </r>
  <r>
    <s v="AWS S3 Storage Plan"/>
    <s v="Cloud"/>
    <n v="2024"/>
    <s v="February"/>
    <s v="Massachusetts"/>
    <x v="0"/>
    <n v="30662.67"/>
    <n v="-2551.34"/>
    <n v="18"/>
  </r>
  <r>
    <s v="Lenovo ThinkPad X1"/>
    <s v="Hardware"/>
    <n v="2023"/>
    <s v="October"/>
    <s v="Virginia"/>
    <x v="1"/>
    <n v="39398.19"/>
    <n v="-1267.3399999999999"/>
    <n v="20"/>
  </r>
  <r>
    <s v="Microsoft Office 365"/>
    <s v="Software"/>
    <n v="2023"/>
    <s v="May"/>
    <s v="Massachusetts"/>
    <x v="2"/>
    <n v="40770.379999999997"/>
    <n v="140.71"/>
    <n v="12"/>
  </r>
  <r>
    <s v="SAP Business One"/>
    <s v="Software"/>
    <n v="2023"/>
    <s v="May"/>
    <s v="Virginia"/>
    <x v="2"/>
    <n v="27503.51"/>
    <n v="-4753.1000000000004"/>
    <n v="5"/>
  </r>
  <r>
    <s v="Server Maintenance Contract"/>
    <s v="Support"/>
    <n v="2023"/>
    <s v="December"/>
    <s v="Georgia"/>
    <x v="3"/>
    <n v="32281.72"/>
    <n v="3528.5"/>
    <n v="11"/>
  </r>
  <r>
    <s v="AutoCAD License"/>
    <s v="Software"/>
    <n v="2023"/>
    <s v="November"/>
    <s v="Colorado"/>
    <x v="4"/>
    <n v="31717.61"/>
    <n v="3310.97"/>
    <n v="17"/>
  </r>
  <r>
    <s v="Server Maintenance Contract"/>
    <s v="Support"/>
    <n v="2024"/>
    <s v="June"/>
    <s v="Illinois"/>
    <x v="5"/>
    <n v="41708.699999999997"/>
    <n v="876.5"/>
    <n v="4"/>
  </r>
  <r>
    <s v="Cybersecurity Audit"/>
    <s v="Consulting"/>
    <n v="2024"/>
    <s v="March"/>
    <s v="California"/>
    <x v="6"/>
    <n v="26356.560000000001"/>
    <n v="10021.879999999999"/>
    <n v="19"/>
  </r>
  <r>
    <s v="Dell PowerEdge Server"/>
    <s v="Hardware"/>
    <n v="2023"/>
    <s v="August"/>
    <s v="Georgia"/>
    <x v="7"/>
    <n v="28590.45"/>
    <n v="6653.28"/>
    <n v="13"/>
  </r>
  <r>
    <s v="Microsoft Office 365"/>
    <s v="Software"/>
    <n v="2023"/>
    <s v="June"/>
    <s v="Colorado"/>
    <x v="8"/>
    <n v="13585.29"/>
    <n v="877.92"/>
    <n v="14"/>
  </r>
  <r>
    <s v="Onsite Hardware Repair"/>
    <s v="Support"/>
    <n v="2023"/>
    <s v="June"/>
    <s v="Massachusetts"/>
    <x v="9"/>
    <n v="39873.75"/>
    <n v="14048.02"/>
    <n v="2"/>
  </r>
  <r>
    <s v="Digital Transformation Advisory"/>
    <s v="Consulting"/>
    <n v="2023"/>
    <s v="May"/>
    <s v="Virginia"/>
    <x v="9"/>
    <n v="49915.53"/>
    <n v="4343.78"/>
    <n v="13"/>
  </r>
  <r>
    <s v="AutoCAD License"/>
    <s v="Software"/>
    <n v="2023"/>
    <s v="November"/>
    <s v="Virginia"/>
    <x v="8"/>
    <n v="29582.29"/>
    <n v="6079.79"/>
    <n v="9"/>
  </r>
  <r>
    <s v="Adobe Creative Cloud"/>
    <s v="Software"/>
    <n v="2024"/>
    <s v="May"/>
    <s v="Illinois"/>
    <x v="10"/>
    <n v="18432.46"/>
    <n v="6725.84"/>
    <n v="10"/>
  </r>
  <r>
    <s v="AutoCAD License"/>
    <s v="Software"/>
    <n v="2023"/>
    <s v="October"/>
    <s v="Washington"/>
    <x v="0"/>
    <n v="20696.14"/>
    <n v="7455.17"/>
    <n v="9"/>
  </r>
  <r>
    <s v="Dell PowerEdge Server"/>
    <s v="Hardware"/>
    <n v="2023"/>
    <s v="October"/>
    <s v="Virginia"/>
    <x v="1"/>
    <n v="45309.22"/>
    <n v="1663.73"/>
    <n v="12"/>
  </r>
  <r>
    <s v="AWS S3 Storage Plan"/>
    <s v="Cloud"/>
    <n v="2023"/>
    <s v="May"/>
    <s v="Illinois"/>
    <x v="2"/>
    <n v="20586.36"/>
    <n v="1346.88"/>
    <n v="9"/>
  </r>
  <r>
    <s v="Adobe Creative Cloud"/>
    <s v="Software"/>
    <n v="2024"/>
    <s v="May"/>
    <s v="Virginia"/>
    <x v="2"/>
    <n v="46986.080000000002"/>
    <n v="10229"/>
    <n v="5"/>
  </r>
  <r>
    <s v="Cloud Migration Service"/>
    <s v="Consulting"/>
    <n v="2023"/>
    <s v="April"/>
    <s v="Florida"/>
    <x v="3"/>
    <n v="7284.44"/>
    <n v="2499.37"/>
    <n v="8"/>
  </r>
  <r>
    <s v="Dell Latitude 5420 Laptop"/>
    <s v="Hardware"/>
    <n v="2023"/>
    <s v="August"/>
    <s v="Massachusetts"/>
    <x v="4"/>
    <n v="37281.11"/>
    <n v="-5207.17"/>
    <n v="5"/>
  </r>
  <r>
    <s v="Digital Transformation Advisory"/>
    <s v="Consulting"/>
    <n v="2023"/>
    <s v="January"/>
    <s v="Massachusetts"/>
    <x v="5"/>
    <n v="26485.18"/>
    <n v="-2127.46"/>
    <n v="10"/>
  </r>
  <r>
    <s v="AWS S3 Storage Plan"/>
    <s v="Cloud"/>
    <n v="2023"/>
    <s v="November"/>
    <s v="Texas"/>
    <x v="0"/>
    <n v="15449.91"/>
    <n v="3757.6"/>
    <n v="2"/>
  </r>
  <r>
    <s v="Onsite Hardware Repair"/>
    <s v="Support"/>
    <n v="2023"/>
    <s v="June"/>
    <s v="California"/>
    <x v="1"/>
    <n v="40458.230000000003"/>
    <n v="-3568.94"/>
    <n v="10"/>
  </r>
  <r>
    <s v="Cisco Catalyst Switch"/>
    <s v="Hardware"/>
    <n v="2023"/>
    <s v="February"/>
    <s v="Colorado"/>
    <x v="2"/>
    <n v="9828.5300000000007"/>
    <n v="3831.12"/>
    <n v="10"/>
  </r>
  <r>
    <s v="Cloud Migration Service"/>
    <s v="Consulting"/>
    <n v="2024"/>
    <s v="April"/>
    <s v="Georgia"/>
    <x v="2"/>
    <n v="43297.69"/>
    <n v="3498.99"/>
    <n v="7"/>
  </r>
  <r>
    <s v="Microsoft Azure VM"/>
    <s v="Cloud"/>
    <n v="2023"/>
    <s v="April"/>
    <s v="Georgia"/>
    <x v="3"/>
    <n v="37336.92"/>
    <n v="-7151.87"/>
    <n v="11"/>
  </r>
  <r>
    <s v="Digital Transformation Advisory"/>
    <s v="Consulting"/>
    <n v="2023"/>
    <s v="October"/>
    <s v="New York"/>
    <x v="4"/>
    <n v="43526.59"/>
    <n v="14721.81"/>
    <n v="14"/>
  </r>
  <r>
    <s v="AWS S3 Storage Plan"/>
    <s v="Cloud"/>
    <n v="2024"/>
    <s v="June"/>
    <s v="Massachusetts"/>
    <x v="5"/>
    <n v="13315.15"/>
    <n v="-1539.67"/>
    <n v="11"/>
  </r>
  <r>
    <s v="Cisco Catalyst Switch"/>
    <s v="Hardware"/>
    <n v="2023"/>
    <s v="September"/>
    <s v="Massachusetts"/>
    <x v="6"/>
    <n v="25103.1"/>
    <n v="-999.19"/>
    <n v="11"/>
  </r>
  <r>
    <s v="Cloud Migration Service"/>
    <s v="Consulting"/>
    <n v="2023"/>
    <s v="November"/>
    <s v="California"/>
    <x v="7"/>
    <n v="34415.75"/>
    <n v="7422.14"/>
    <n v="2"/>
  </r>
  <r>
    <s v="Network Troubleshooting"/>
    <s v="Support"/>
    <n v="2023"/>
    <s v="May"/>
    <s v="New York"/>
    <x v="8"/>
    <n v="35873.31"/>
    <n v="12694.26"/>
    <n v="10"/>
  </r>
  <r>
    <s v="Google Cloud SQL"/>
    <s v="Cloud"/>
    <n v="2023"/>
    <s v="May"/>
    <s v="Colorado"/>
    <x v="9"/>
    <n v="14860.79"/>
    <n v="-1781.2"/>
    <n v="5"/>
  </r>
  <r>
    <s v="Cybersecurity Audit"/>
    <s v="Consulting"/>
    <n v="2024"/>
    <s v="April"/>
    <s v="Massachusetts"/>
    <x v="9"/>
    <n v="46075.86"/>
    <n v="11722.17"/>
    <n v="7"/>
  </r>
  <r>
    <s v="Infrastructure Consulting"/>
    <s v="Consulting"/>
    <n v="2023"/>
    <s v="September"/>
    <s v="Virginia"/>
    <x v="8"/>
    <n v="28767.79"/>
    <n v="491.09"/>
    <n v="19"/>
  </r>
  <r>
    <s v="Dell PowerEdge Server"/>
    <s v="Hardware"/>
    <n v="2023"/>
    <s v="April"/>
    <s v="Virginia"/>
    <x v="10"/>
    <n v="30771.58"/>
    <n v="-3387.6"/>
    <n v="11"/>
  </r>
  <r>
    <s v="IT Helpdesk Subscription"/>
    <s v="Support"/>
    <n v="2024"/>
    <s v="June"/>
    <s v="Florida"/>
    <x v="0"/>
    <n v="26997.26"/>
    <n v="9161.08"/>
    <n v="15"/>
  </r>
  <r>
    <s v="Onsite Hardware Repair"/>
    <s v="Support"/>
    <n v="2023"/>
    <s v="February"/>
    <s v="Virginia"/>
    <x v="1"/>
    <n v="25555.93"/>
    <n v="-4225.88"/>
    <n v="15"/>
  </r>
  <r>
    <s v="Lenovo ThinkPad X1"/>
    <s v="Hardware"/>
    <n v="2023"/>
    <s v="November"/>
    <s v="Illinois"/>
    <x v="2"/>
    <n v="38561.199999999997"/>
    <n v="5667.99"/>
    <n v="2"/>
  </r>
  <r>
    <s v="AWS S3 Storage Plan"/>
    <s v="Cloud"/>
    <n v="2024"/>
    <s v="March"/>
    <s v="Virginia"/>
    <x v="2"/>
    <n v="47056.23"/>
    <n v="-7462.58"/>
    <n v="16"/>
  </r>
  <r>
    <s v="Dropbox Business Plan"/>
    <s v="Cloud"/>
    <n v="2023"/>
    <s v="February"/>
    <s v="New York"/>
    <x v="3"/>
    <n v="39462.25"/>
    <n v="15271.89"/>
    <n v="14"/>
  </r>
  <r>
    <s v="Security Patch Service"/>
    <s v="Support"/>
    <n v="2024"/>
    <s v="January"/>
    <s v="Massachusetts"/>
    <x v="4"/>
    <n v="8611.25"/>
    <n v="3259.24"/>
    <n v="18"/>
  </r>
  <r>
    <s v="AWS S3 Storage Plan"/>
    <s v="Cloud"/>
    <n v="2023"/>
    <s v="May"/>
    <s v="New York"/>
    <x v="5"/>
    <n v="22687.64"/>
    <n v="-2804.01"/>
    <n v="8"/>
  </r>
  <r>
    <s v="Cisco Catalyst Switch"/>
    <s v="Hardware"/>
    <n v="2023"/>
    <s v="January"/>
    <s v="Georgia"/>
    <x v="0"/>
    <n v="24085.759999999998"/>
    <n v="663.95"/>
    <n v="8"/>
  </r>
  <r>
    <s v="Network Troubleshooting"/>
    <s v="Support"/>
    <n v="2023"/>
    <s v="September"/>
    <s v="New York"/>
    <x v="1"/>
    <n v="13481.62"/>
    <n v="4383.21"/>
    <n v="4"/>
  </r>
  <r>
    <s v="Server Maintenance Contract"/>
    <s v="Support"/>
    <n v="2023"/>
    <s v="February"/>
    <s v="California"/>
    <x v="2"/>
    <n v="14273.67"/>
    <n v="-1990.63"/>
    <n v="2"/>
  </r>
  <r>
    <s v="Infrastructure Consulting"/>
    <s v="Consulting"/>
    <n v="2024"/>
    <s v="April"/>
    <s v="Florida"/>
    <x v="2"/>
    <n v="23101.94"/>
    <n v="-1372.17"/>
    <n v="7"/>
  </r>
  <r>
    <s v="SAP Business One"/>
    <s v="Software"/>
    <n v="2023"/>
    <s v="February"/>
    <s v="Illinois"/>
    <x v="3"/>
    <n v="41710.379999999997"/>
    <n v="9965.0499999999993"/>
    <n v="11"/>
  </r>
  <r>
    <s v="QuickBooks Enterprise"/>
    <s v="Software"/>
    <n v="2023"/>
    <s v="November"/>
    <s v="New York"/>
    <x v="4"/>
    <n v="14946.92"/>
    <n v="-294.45"/>
    <n v="2"/>
  </r>
  <r>
    <s v="Digital Transformation Advisory"/>
    <s v="Consulting"/>
    <n v="2024"/>
    <s v="July"/>
    <s v="Massachusetts"/>
    <x v="5"/>
    <n v="27302.94"/>
    <n v="10467.24"/>
    <n v="13"/>
  </r>
  <r>
    <s v="Dropbox Business Plan"/>
    <s v="Cloud"/>
    <n v="2024"/>
    <s v="June"/>
    <s v="Massachusetts"/>
    <x v="6"/>
    <n v="18494.98"/>
    <n v="-1658.49"/>
    <n v="18"/>
  </r>
  <r>
    <s v="Adobe Creative Cloud"/>
    <s v="Software"/>
    <n v="2024"/>
    <s v="April"/>
    <s v="Illinois"/>
    <x v="7"/>
    <n v="41259.93"/>
    <n v="14393.31"/>
    <n v="18"/>
  </r>
  <r>
    <s v="Server Maintenance Contract"/>
    <s v="Support"/>
    <n v="2024"/>
    <s v="February"/>
    <s v="Virginia"/>
    <x v="8"/>
    <n v="22478.86"/>
    <n v="-1056.57"/>
    <n v="11"/>
  </r>
  <r>
    <s v="Network Troubleshooting"/>
    <s v="Support"/>
    <n v="2023"/>
    <s v="March"/>
    <s v="Texas"/>
    <x v="9"/>
    <n v="37606.31"/>
    <n v="-3223.28"/>
    <n v="9"/>
  </r>
  <r>
    <s v="Cloud Migration Service"/>
    <s v="Consulting"/>
    <n v="2024"/>
    <s v="January"/>
    <s v="California"/>
    <x v="9"/>
    <n v="13467.35"/>
    <n v="3461.35"/>
    <n v="18"/>
  </r>
  <r>
    <s v="Onsite Hardware Repair"/>
    <s v="Support"/>
    <n v="2023"/>
    <s v="August"/>
    <s v="Washington"/>
    <x v="8"/>
    <n v="48065.89"/>
    <n v="-9170.9599999999991"/>
    <n v="7"/>
  </r>
  <r>
    <s v="Onsite Hardware Repair"/>
    <s v="Support"/>
    <n v="2023"/>
    <s v="May"/>
    <s v="Colorado"/>
    <x v="10"/>
    <n v="22848.44"/>
    <n v="-1288.68"/>
    <n v="11"/>
  </r>
  <r>
    <s v="Security Patch Service"/>
    <s v="Support"/>
    <n v="2023"/>
    <s v="October"/>
    <s v="Virginia"/>
    <x v="7"/>
    <n v="18879"/>
    <n v="298.04000000000002"/>
    <n v="16"/>
  </r>
  <r>
    <s v="Lenovo ThinkPad X1"/>
    <s v="Hardware"/>
    <n v="2024"/>
    <s v="April"/>
    <s v="Washington"/>
    <x v="8"/>
    <n v="21681.72"/>
    <n v="1048.49"/>
    <n v="19"/>
  </r>
  <r>
    <s v="Microsoft Office 365"/>
    <s v="Software"/>
    <n v="2023"/>
    <s v="August"/>
    <s v="Illinois"/>
    <x v="9"/>
    <n v="47064.12"/>
    <n v="6941.29"/>
    <n v="14"/>
  </r>
  <r>
    <s v="Adobe Creative Cloud"/>
    <s v="Software"/>
    <n v="2023"/>
    <s v="October"/>
    <s v="Washington"/>
    <x v="9"/>
    <n v="22092.79"/>
    <n v="6628.23"/>
    <n v="16"/>
  </r>
  <r>
    <s v="Google Cloud SQL"/>
    <s v="Cloud"/>
    <n v="2024"/>
    <s v="July"/>
    <s v="Georgia"/>
    <x v="8"/>
    <n v="25737.3"/>
    <n v="6168.29"/>
    <n v="12"/>
  </r>
  <r>
    <s v="SAP Business One"/>
    <s v="Software"/>
    <n v="2023"/>
    <s v="June"/>
    <s v="Georgia"/>
    <x v="10"/>
    <n v="46260.47"/>
    <n v="5795.61"/>
    <n v="2"/>
  </r>
  <r>
    <s v="Dell Latitude 5420 Laptop"/>
    <s v="Hardware"/>
    <n v="2024"/>
    <s v="June"/>
    <s v="California"/>
    <x v="7"/>
    <n v="23557.65"/>
    <n v="7197.49"/>
    <n v="8"/>
  </r>
  <r>
    <s v="Microsoft Office 365"/>
    <s v="Software"/>
    <n v="2023"/>
    <s v="March"/>
    <s v="Florida"/>
    <x v="8"/>
    <n v="25520.43"/>
    <n v="-4178.46"/>
    <n v="20"/>
  </r>
  <r>
    <s v="IT Helpdesk Subscription"/>
    <s v="Support"/>
    <n v="2024"/>
    <s v="May"/>
    <s v="California"/>
    <x v="9"/>
    <n v="29823.96"/>
    <n v="-5752.73"/>
    <n v="17"/>
  </r>
  <r>
    <s v="Cybersecurity Audit"/>
    <s v="Consulting"/>
    <n v="2023"/>
    <s v="October"/>
    <s v="California"/>
    <x v="9"/>
    <n v="41592.07"/>
    <n v="8502.24"/>
    <n v="6"/>
  </r>
  <r>
    <s v="Dell PowerEdge Server"/>
    <s v="Hardware"/>
    <n v="2023"/>
    <s v="April"/>
    <s v="New York"/>
    <x v="8"/>
    <n v="13636.94"/>
    <n v="1580.16"/>
    <n v="12"/>
  </r>
  <r>
    <s v="IT Helpdesk Subscription"/>
    <s v="Support"/>
    <n v="2023"/>
    <s v="October"/>
    <s v="Washington"/>
    <x v="10"/>
    <n v="25654.9"/>
    <n v="-1387.3"/>
    <n v="8"/>
  </r>
  <r>
    <s v="Dell Latitude 5420 Laptop"/>
    <s v="Hardware"/>
    <n v="2023"/>
    <s v="November"/>
    <s v="Texas"/>
    <x v="7"/>
    <n v="22066.880000000001"/>
    <n v="2904.46"/>
    <n v="2"/>
  </r>
  <r>
    <s v="Microsoft Office 365"/>
    <s v="Software"/>
    <n v="2023"/>
    <s v="January"/>
    <s v="Georgia"/>
    <x v="8"/>
    <n v="34020.83"/>
    <n v="-42.11"/>
    <n v="4"/>
  </r>
  <r>
    <s v="HP ProDesk 600 Desktop"/>
    <s v="Hardware"/>
    <n v="2024"/>
    <s v="June"/>
    <s v="Florida"/>
    <x v="9"/>
    <n v="26397.51"/>
    <n v="-4542.03"/>
    <n v="3"/>
  </r>
  <r>
    <s v="Cloud Migration Service"/>
    <s v="Consulting"/>
    <n v="2023"/>
    <s v="October"/>
    <s v="California"/>
    <x v="9"/>
    <n v="46794.49"/>
    <n v="-529.21"/>
    <n v="7"/>
  </r>
  <r>
    <s v="IT Helpdesk Subscription"/>
    <s v="Support"/>
    <n v="2023"/>
    <s v="May"/>
    <s v="Illinois"/>
    <x v="8"/>
    <n v="30378.12"/>
    <n v="4253.47"/>
    <n v="13"/>
  </r>
  <r>
    <s v="Dropbox Business Plan"/>
    <s v="Cloud"/>
    <n v="2024"/>
    <s v="July"/>
    <s v="New York"/>
    <x v="10"/>
    <n v="27535.68"/>
    <n v="10590.06"/>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6A374D-2D99-434F-8BFA-353F2B1AB4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N3:O16" firstHeaderRow="1" firstDataRow="1" firstDataCol="1"/>
  <pivotFields count="11">
    <pivotField showAll="0"/>
    <pivotField showAll="0">
      <items count="6">
        <item x="1"/>
        <item x="0"/>
        <item x="4"/>
        <item x="2"/>
        <item x="3"/>
        <item t="default"/>
      </items>
    </pivotField>
    <pivotField showAll="0"/>
    <pivotField showAll="0">
      <items count="3">
        <item x="1"/>
        <item x="0"/>
        <item t="default"/>
      </items>
    </pivotField>
    <pivotField axis="axisRow" showAll="0">
      <items count="13">
        <item x="3"/>
        <item x="2"/>
        <item x="1"/>
        <item x="0"/>
        <item x="8"/>
        <item x="7"/>
        <item x="5"/>
        <item x="11"/>
        <item x="4"/>
        <item x="10"/>
        <item x="6"/>
        <item x="9"/>
        <item t="default"/>
      </items>
    </pivotField>
    <pivotField showAll="0"/>
    <pivotField showAll="0">
      <items count="11">
        <item x="8"/>
        <item x="6"/>
        <item x="1"/>
        <item x="4"/>
        <item x="7"/>
        <item x="9"/>
        <item x="0"/>
        <item x="3"/>
        <item x="5"/>
        <item x="2"/>
        <item t="default"/>
      </items>
    </pivotField>
    <pivotField dataField="1" showAll="0">
      <items count="103">
        <item x="18"/>
        <item x="46"/>
        <item x="68"/>
        <item x="51"/>
        <item x="16"/>
        <item x="12"/>
        <item x="2"/>
        <item x="23"/>
        <item x="3"/>
        <item x="17"/>
        <item x="7"/>
        <item x="55"/>
        <item x="81"/>
        <item x="71"/>
        <item x="37"/>
        <item x="94"/>
        <item x="21"/>
        <item x="72"/>
        <item x="59"/>
        <item x="75"/>
        <item x="49"/>
        <item x="6"/>
        <item x="8"/>
        <item x="20"/>
        <item x="41"/>
        <item x="77"/>
        <item x="84"/>
        <item x="44"/>
        <item x="42"/>
        <item x="0"/>
        <item x="26"/>
        <item x="1"/>
        <item x="10"/>
        <item x="85"/>
        <item x="96"/>
        <item x="87"/>
        <item x="79"/>
        <item x="69"/>
        <item x="83"/>
        <item x="11"/>
        <item x="73"/>
        <item x="90"/>
        <item x="70"/>
        <item x="27"/>
        <item x="56"/>
        <item x="91"/>
        <item x="64"/>
        <item x="95"/>
        <item x="88"/>
        <item x="35"/>
        <item x="98"/>
        <item x="48"/>
        <item x="63"/>
        <item x="76"/>
        <item x="25"/>
        <item x="31"/>
        <item x="101"/>
        <item x="22"/>
        <item x="5"/>
        <item x="36"/>
        <item x="61"/>
        <item x="4"/>
        <item x="40"/>
        <item x="92"/>
        <item x="100"/>
        <item x="28"/>
        <item x="62"/>
        <item x="33"/>
        <item x="32"/>
        <item x="19"/>
        <item x="97"/>
        <item x="57"/>
        <item x="58"/>
        <item x="47"/>
        <item x="53"/>
        <item x="24"/>
        <item x="80"/>
        <item x="65"/>
        <item x="29"/>
        <item x="67"/>
        <item x="38"/>
        <item x="50"/>
        <item x="30"/>
        <item x="78"/>
        <item x="93"/>
        <item x="34"/>
        <item x="74"/>
        <item x="14"/>
        <item x="52"/>
        <item x="54"/>
        <item x="13"/>
        <item x="43"/>
        <item x="60"/>
        <item x="89"/>
        <item x="99"/>
        <item x="45"/>
        <item x="66"/>
        <item x="86"/>
        <item x="15"/>
        <item x="82"/>
        <item x="9"/>
        <item x="39"/>
        <item t="default"/>
      </items>
    </pivotField>
    <pivotField showAll="0">
      <items count="103">
        <item x="82"/>
        <item x="66"/>
        <item x="53"/>
        <item x="92"/>
        <item x="47"/>
        <item x="31"/>
        <item x="98"/>
        <item x="64"/>
        <item x="91"/>
        <item x="25"/>
        <item x="22"/>
        <item x="0"/>
        <item x="50"/>
        <item x="26"/>
        <item x="62"/>
        <item x="24"/>
        <item x="80"/>
        <item x="20"/>
        <item x="69"/>
        <item x="28"/>
        <item x="48"/>
        <item x="72"/>
        <item x="23"/>
        <item x="59"/>
        <item x="77"/>
        <item x="55"/>
        <item x="95"/>
        <item x="73"/>
        <item x="83"/>
        <item x="29"/>
        <item x="79"/>
        <item x="56"/>
        <item x="2"/>
        <item x="99"/>
        <item x="8"/>
        <item x="75"/>
        <item x="16"/>
        <item x="12"/>
        <item x="97"/>
        <item x="30"/>
        <item x="84"/>
        <item x="61"/>
        <item x="70"/>
        <item x="3"/>
        <item x="34"/>
        <item x="37"/>
        <item x="85"/>
        <item x="4"/>
        <item x="18"/>
        <item x="44"/>
        <item x="94"/>
        <item x="43"/>
        <item x="21"/>
        <item x="17"/>
        <item x="46"/>
        <item x="96"/>
        <item x="7"/>
        <item x="68"/>
        <item x="33"/>
        <item x="19"/>
        <item x="81"/>
        <item x="52"/>
        <item x="32"/>
        <item x="49"/>
        <item x="51"/>
        <item x="100"/>
        <item x="39"/>
        <item x="71"/>
        <item x="14"/>
        <item x="11"/>
        <item x="15"/>
        <item x="65"/>
        <item x="89"/>
        <item x="1"/>
        <item x="40"/>
        <item x="10"/>
        <item x="88"/>
        <item x="6"/>
        <item x="87"/>
        <item x="36"/>
        <item x="41"/>
        <item x="86"/>
        <item x="90"/>
        <item x="57"/>
        <item x="42"/>
        <item x="27"/>
        <item x="93"/>
        <item x="63"/>
        <item x="5"/>
        <item x="74"/>
        <item x="35"/>
        <item x="45"/>
        <item x="76"/>
        <item x="101"/>
        <item x="60"/>
        <item x="13"/>
        <item x="58"/>
        <item x="9"/>
        <item x="38"/>
        <item x="78"/>
        <item x="54"/>
        <item x="67"/>
        <item t="default"/>
      </items>
    </pivotField>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Sales ($)" fld="7" baseField="0" baseItem="0"/>
  </dataFields>
  <chartFormats count="18">
    <chartFormat chart="17"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4" count="1" selected="0">
            <x v="0"/>
          </reference>
        </references>
      </pivotArea>
    </chartFormat>
    <chartFormat chart="23" format="15">
      <pivotArea type="data" outline="0" fieldPosition="0">
        <references count="2">
          <reference field="4294967294" count="1" selected="0">
            <x v="0"/>
          </reference>
          <reference field="4" count="1" selected="0">
            <x v="1"/>
          </reference>
        </references>
      </pivotArea>
    </chartFormat>
    <chartFormat chart="23" format="16">
      <pivotArea type="data" outline="0" fieldPosition="0">
        <references count="2">
          <reference field="4294967294" count="1" selected="0">
            <x v="0"/>
          </reference>
          <reference field="4" count="1" selected="0">
            <x v="2"/>
          </reference>
        </references>
      </pivotArea>
    </chartFormat>
    <chartFormat chart="23" format="17">
      <pivotArea type="data" outline="0" fieldPosition="0">
        <references count="2">
          <reference field="4294967294" count="1" selected="0">
            <x v="0"/>
          </reference>
          <reference field="4" count="1" selected="0">
            <x v="4"/>
          </reference>
        </references>
      </pivotArea>
    </chartFormat>
    <chartFormat chart="23" format="18">
      <pivotArea type="data" outline="0" fieldPosition="0">
        <references count="2">
          <reference field="4294967294" count="1" selected="0">
            <x v="0"/>
          </reference>
          <reference field="4" count="1" selected="0">
            <x v="6"/>
          </reference>
        </references>
      </pivotArea>
    </chartFormat>
    <chartFormat chart="23" format="19">
      <pivotArea type="data" outline="0" fieldPosition="0">
        <references count="2">
          <reference field="4294967294" count="1" selected="0">
            <x v="0"/>
          </reference>
          <reference field="4" count="1" selected="0">
            <x v="7"/>
          </reference>
        </references>
      </pivotArea>
    </chartFormat>
    <chartFormat chart="23" format="20">
      <pivotArea type="data" outline="0" fieldPosition="0">
        <references count="2">
          <reference field="4294967294" count="1" selected="0">
            <x v="0"/>
          </reference>
          <reference field="4" count="1" selected="0">
            <x v="8"/>
          </reference>
        </references>
      </pivotArea>
    </chartFormat>
    <chartFormat chart="27" format="45" series="1">
      <pivotArea type="data" outline="0" fieldPosition="0">
        <references count="1">
          <reference field="4294967294" count="1" selected="0">
            <x v="0"/>
          </reference>
        </references>
      </pivotArea>
    </chartFormat>
    <chartFormat chart="27" format="46">
      <pivotArea type="data" outline="0" fieldPosition="0">
        <references count="2">
          <reference field="4294967294" count="1" selected="0">
            <x v="0"/>
          </reference>
          <reference field="4" count="1" selected="0">
            <x v="0"/>
          </reference>
        </references>
      </pivotArea>
    </chartFormat>
    <chartFormat chart="27" format="47">
      <pivotArea type="data" outline="0" fieldPosition="0">
        <references count="2">
          <reference field="4294967294" count="1" selected="0">
            <x v="0"/>
          </reference>
          <reference field="4" count="1" selected="0">
            <x v="1"/>
          </reference>
        </references>
      </pivotArea>
    </chartFormat>
    <chartFormat chart="27" format="48">
      <pivotArea type="data" outline="0" fieldPosition="0">
        <references count="2">
          <reference field="4294967294" count="1" selected="0">
            <x v="0"/>
          </reference>
          <reference field="4" count="1" selected="0">
            <x v="2"/>
          </reference>
        </references>
      </pivotArea>
    </chartFormat>
    <chartFormat chart="27" format="49">
      <pivotArea type="data" outline="0" fieldPosition="0">
        <references count="2">
          <reference field="4294967294" count="1" selected="0">
            <x v="0"/>
          </reference>
          <reference field="4" count="1" selected="0">
            <x v="4"/>
          </reference>
        </references>
      </pivotArea>
    </chartFormat>
    <chartFormat chart="27" format="50">
      <pivotArea type="data" outline="0" fieldPosition="0">
        <references count="2">
          <reference field="4294967294" count="1" selected="0">
            <x v="0"/>
          </reference>
          <reference field="4" count="1" selected="0">
            <x v="6"/>
          </reference>
        </references>
      </pivotArea>
    </chartFormat>
    <chartFormat chart="27" format="51">
      <pivotArea type="data" outline="0" fieldPosition="0">
        <references count="2">
          <reference field="4294967294" count="1" selected="0">
            <x v="0"/>
          </reference>
          <reference field="4" count="1" selected="0">
            <x v="7"/>
          </reference>
        </references>
      </pivotArea>
    </chartFormat>
    <chartFormat chart="27" format="52">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24E0A-44EA-4659-AD82-F750781B98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6" firstHeaderRow="1" firstDataRow="1" firstDataCol="1"/>
  <pivotFields count="11">
    <pivotField showAll="0"/>
    <pivotField showAll="0">
      <items count="6">
        <item x="1"/>
        <item x="0"/>
        <item x="4"/>
        <item x="2"/>
        <item x="3"/>
        <item t="default"/>
      </items>
    </pivotField>
    <pivotField showAll="0"/>
    <pivotField axis="axisRow" showAll="0">
      <items count="3">
        <item x="1"/>
        <item x="0"/>
        <item t="default"/>
      </items>
    </pivotField>
    <pivotField showAll="0">
      <items count="13">
        <item x="3"/>
        <item x="2"/>
        <item x="1"/>
        <item x="0"/>
        <item x="8"/>
        <item x="7"/>
        <item x="5"/>
        <item x="11"/>
        <item x="4"/>
        <item x="10"/>
        <item x="6"/>
        <item x="9"/>
        <item t="default"/>
      </items>
    </pivotField>
    <pivotField showAll="0"/>
    <pivotField showAll="0">
      <items count="11">
        <item x="8"/>
        <item x="6"/>
        <item x="1"/>
        <item x="4"/>
        <item x="7"/>
        <item x="9"/>
        <item x="0"/>
        <item x="3"/>
        <item x="5"/>
        <item x="2"/>
        <item t="default"/>
      </items>
    </pivotField>
    <pivotField showAll="0">
      <items count="103">
        <item x="18"/>
        <item x="46"/>
        <item x="68"/>
        <item x="51"/>
        <item x="16"/>
        <item x="12"/>
        <item x="2"/>
        <item x="23"/>
        <item x="3"/>
        <item x="17"/>
        <item x="7"/>
        <item x="55"/>
        <item x="81"/>
        <item x="71"/>
        <item x="37"/>
        <item x="94"/>
        <item x="21"/>
        <item x="72"/>
        <item x="59"/>
        <item x="75"/>
        <item x="49"/>
        <item x="6"/>
        <item x="8"/>
        <item x="20"/>
        <item x="41"/>
        <item x="77"/>
        <item x="84"/>
        <item x="44"/>
        <item x="42"/>
        <item x="0"/>
        <item x="26"/>
        <item x="1"/>
        <item x="10"/>
        <item x="85"/>
        <item x="96"/>
        <item x="87"/>
        <item x="79"/>
        <item x="69"/>
        <item x="83"/>
        <item x="11"/>
        <item x="73"/>
        <item x="90"/>
        <item x="70"/>
        <item x="27"/>
        <item x="56"/>
        <item x="91"/>
        <item x="64"/>
        <item x="95"/>
        <item x="88"/>
        <item x="35"/>
        <item x="98"/>
        <item x="48"/>
        <item x="63"/>
        <item x="76"/>
        <item x="25"/>
        <item x="31"/>
        <item x="101"/>
        <item x="22"/>
        <item x="5"/>
        <item x="36"/>
        <item x="61"/>
        <item x="4"/>
        <item x="40"/>
        <item x="92"/>
        <item x="100"/>
        <item x="28"/>
        <item x="62"/>
        <item x="33"/>
        <item x="32"/>
        <item x="19"/>
        <item x="97"/>
        <item x="57"/>
        <item x="58"/>
        <item x="47"/>
        <item x="53"/>
        <item x="24"/>
        <item x="80"/>
        <item x="65"/>
        <item x="29"/>
        <item x="67"/>
        <item x="38"/>
        <item x="50"/>
        <item x="30"/>
        <item x="78"/>
        <item x="93"/>
        <item x="34"/>
        <item x="74"/>
        <item x="14"/>
        <item x="52"/>
        <item x="54"/>
        <item x="13"/>
        <item x="43"/>
        <item x="60"/>
        <item x="89"/>
        <item x="99"/>
        <item x="45"/>
        <item x="66"/>
        <item x="86"/>
        <item x="15"/>
        <item x="82"/>
        <item x="9"/>
        <item x="39"/>
        <item t="default"/>
      </items>
    </pivotField>
    <pivotField showAll="0">
      <items count="103">
        <item x="82"/>
        <item x="66"/>
        <item x="53"/>
        <item x="92"/>
        <item x="47"/>
        <item x="31"/>
        <item x="98"/>
        <item x="64"/>
        <item x="91"/>
        <item x="25"/>
        <item x="22"/>
        <item x="0"/>
        <item x="50"/>
        <item x="26"/>
        <item x="62"/>
        <item x="24"/>
        <item x="80"/>
        <item x="20"/>
        <item x="69"/>
        <item x="28"/>
        <item x="48"/>
        <item x="72"/>
        <item x="23"/>
        <item x="59"/>
        <item x="77"/>
        <item x="55"/>
        <item x="95"/>
        <item x="73"/>
        <item x="83"/>
        <item x="29"/>
        <item x="79"/>
        <item x="56"/>
        <item x="2"/>
        <item x="99"/>
        <item x="8"/>
        <item x="75"/>
        <item x="16"/>
        <item x="12"/>
        <item x="97"/>
        <item x="30"/>
        <item x="84"/>
        <item x="61"/>
        <item x="70"/>
        <item x="3"/>
        <item x="34"/>
        <item x="37"/>
        <item x="85"/>
        <item x="4"/>
        <item x="18"/>
        <item x="44"/>
        <item x="94"/>
        <item x="43"/>
        <item x="21"/>
        <item x="17"/>
        <item x="46"/>
        <item x="96"/>
        <item x="7"/>
        <item x="68"/>
        <item x="33"/>
        <item x="19"/>
        <item x="81"/>
        <item x="52"/>
        <item x="32"/>
        <item x="49"/>
        <item x="51"/>
        <item x="100"/>
        <item x="39"/>
        <item x="71"/>
        <item x="14"/>
        <item x="11"/>
        <item x="15"/>
        <item x="65"/>
        <item x="89"/>
        <item x="1"/>
        <item x="40"/>
        <item x="10"/>
        <item x="88"/>
        <item x="6"/>
        <item x="87"/>
        <item x="36"/>
        <item x="41"/>
        <item x="86"/>
        <item x="90"/>
        <item x="57"/>
        <item x="42"/>
        <item x="27"/>
        <item x="93"/>
        <item x="63"/>
        <item x="5"/>
        <item x="74"/>
        <item x="35"/>
        <item x="45"/>
        <item x="76"/>
        <item x="101"/>
        <item x="60"/>
        <item x="13"/>
        <item x="58"/>
        <item x="9"/>
        <item x="38"/>
        <item x="78"/>
        <item x="54"/>
        <item x="67"/>
        <item t="default"/>
      </items>
    </pivotField>
    <pivotField showAll="0"/>
    <pivotField dataField="1" showAll="0">
      <items count="20">
        <item x="11"/>
        <item x="5"/>
        <item x="3"/>
        <item x="14"/>
        <item x="1"/>
        <item x="17"/>
        <item x="6"/>
        <item x="2"/>
        <item x="9"/>
        <item x="12"/>
        <item x="0"/>
        <item x="13"/>
        <item x="16"/>
        <item x="18"/>
        <item x="4"/>
        <item x="15"/>
        <item x="7"/>
        <item x="8"/>
        <item x="10"/>
        <item t="default"/>
      </items>
    </pivotField>
  </pivotFields>
  <rowFields count="1">
    <field x="3"/>
  </rowFields>
  <rowItems count="3">
    <i>
      <x/>
    </i>
    <i>
      <x v="1"/>
    </i>
    <i t="grand">
      <x/>
    </i>
  </rowItems>
  <colItems count="1">
    <i/>
  </colItems>
  <dataFields count="1">
    <dataField name="Sum of Customer 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A1C2C9-A2D9-470B-B3B9-B374DB851AE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20:I46" firstHeaderRow="1" firstDataRow="1" firstDataCol="1"/>
  <pivotFields count="11">
    <pivotField axis="axisRow" showAll="0">
      <items count="26">
        <item x="16"/>
        <item x="12"/>
        <item x="1"/>
        <item x="9"/>
        <item x="22"/>
        <item x="20"/>
        <item x="5"/>
        <item x="21"/>
        <item x="15"/>
        <item x="6"/>
        <item x="24"/>
        <item x="7"/>
        <item x="8"/>
        <item x="10"/>
        <item x="4"/>
        <item x="0"/>
        <item x="18"/>
        <item x="14"/>
        <item x="19"/>
        <item x="23"/>
        <item x="17"/>
        <item x="13"/>
        <item x="2"/>
        <item x="11"/>
        <item x="3"/>
        <item t="default"/>
      </items>
    </pivotField>
    <pivotField showAll="0">
      <items count="6">
        <item x="1"/>
        <item x="0"/>
        <item x="4"/>
        <item x="2"/>
        <item x="3"/>
        <item t="default"/>
      </items>
    </pivotField>
    <pivotField showAll="0"/>
    <pivotField showAll="0">
      <items count="3">
        <item x="1"/>
        <item x="0"/>
        <item t="default"/>
      </items>
    </pivotField>
    <pivotField showAll="0">
      <items count="13">
        <item x="3"/>
        <item x="2"/>
        <item x="1"/>
        <item x="0"/>
        <item x="8"/>
        <item x="7"/>
        <item x="5"/>
        <item x="11"/>
        <item x="4"/>
        <item x="10"/>
        <item x="6"/>
        <item x="9"/>
        <item t="default"/>
      </items>
    </pivotField>
    <pivotField showAll="0">
      <items count="11">
        <item x="3"/>
        <item x="4"/>
        <item x="5"/>
        <item x="2"/>
        <item x="9"/>
        <item x="8"/>
        <item x="0"/>
        <item x="1"/>
        <item x="6"/>
        <item x="7"/>
        <item t="default"/>
      </items>
    </pivotField>
    <pivotField showAll="0"/>
    <pivotField dataField="1" showAll="0"/>
    <pivotField showAll="0"/>
    <pivotField showAll="0"/>
    <pivotField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 fld="7" baseField="0" baseItem="0"/>
  </dataFields>
  <chartFormats count="2">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5CBEB-9AE5-460C-A6F1-EA1F79AEDC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11">
    <pivotField showAll="0"/>
    <pivotField showAll="0">
      <items count="6">
        <item x="1"/>
        <item x="0"/>
        <item x="4"/>
        <item x="2"/>
        <item x="3"/>
        <item t="default"/>
      </items>
    </pivotField>
    <pivotField showAll="0"/>
    <pivotField axis="axisRow" showAll="0">
      <items count="3">
        <item x="1"/>
        <item x="0"/>
        <item t="default"/>
      </items>
    </pivotField>
    <pivotField showAll="0">
      <items count="13">
        <item x="3"/>
        <item x="2"/>
        <item x="1"/>
        <item x="0"/>
        <item x="8"/>
        <item x="7"/>
        <item x="5"/>
        <item x="11"/>
        <item x="4"/>
        <item x="10"/>
        <item x="6"/>
        <item x="9"/>
        <item t="default"/>
      </items>
    </pivotField>
    <pivotField showAll="0"/>
    <pivotField showAll="0"/>
    <pivotField showAll="0"/>
    <pivotField dataField="1" showAll="0">
      <items count="103">
        <item x="82"/>
        <item x="66"/>
        <item x="53"/>
        <item x="92"/>
        <item x="47"/>
        <item x="31"/>
        <item x="98"/>
        <item x="64"/>
        <item x="91"/>
        <item x="25"/>
        <item x="22"/>
        <item x="0"/>
        <item x="50"/>
        <item x="26"/>
        <item x="62"/>
        <item x="24"/>
        <item x="80"/>
        <item x="20"/>
        <item x="69"/>
        <item x="28"/>
        <item x="48"/>
        <item x="72"/>
        <item x="23"/>
        <item x="59"/>
        <item x="77"/>
        <item x="55"/>
        <item x="95"/>
        <item x="73"/>
        <item x="83"/>
        <item x="29"/>
        <item x="79"/>
        <item x="56"/>
        <item x="2"/>
        <item x="99"/>
        <item x="8"/>
        <item x="75"/>
        <item x="16"/>
        <item x="12"/>
        <item x="97"/>
        <item x="30"/>
        <item x="84"/>
        <item x="61"/>
        <item x="70"/>
        <item x="3"/>
        <item x="34"/>
        <item x="37"/>
        <item x="85"/>
        <item x="4"/>
        <item x="18"/>
        <item x="44"/>
        <item x="94"/>
        <item x="43"/>
        <item x="21"/>
        <item x="17"/>
        <item x="46"/>
        <item x="96"/>
        <item x="7"/>
        <item x="68"/>
        <item x="33"/>
        <item x="19"/>
        <item x="81"/>
        <item x="52"/>
        <item x="32"/>
        <item x="49"/>
        <item x="51"/>
        <item x="100"/>
        <item x="39"/>
        <item x="71"/>
        <item x="14"/>
        <item x="11"/>
        <item x="15"/>
        <item x="65"/>
        <item x="89"/>
        <item x="1"/>
        <item x="40"/>
        <item x="10"/>
        <item x="88"/>
        <item x="6"/>
        <item x="87"/>
        <item x="36"/>
        <item x="41"/>
        <item x="86"/>
        <item x="90"/>
        <item x="57"/>
        <item x="42"/>
        <item x="27"/>
        <item x="93"/>
        <item x="63"/>
        <item x="5"/>
        <item x="74"/>
        <item x="35"/>
        <item x="45"/>
        <item x="76"/>
        <item x="101"/>
        <item x="60"/>
        <item x="13"/>
        <item x="58"/>
        <item x="9"/>
        <item x="38"/>
        <item x="78"/>
        <item x="54"/>
        <item x="67"/>
        <item t="default"/>
      </items>
    </pivotField>
    <pivotField showAll="0"/>
    <pivotField showAll="0"/>
  </pivotFields>
  <rowFields count="1">
    <field x="3"/>
  </rowFields>
  <rowItems count="3">
    <i>
      <x/>
    </i>
    <i>
      <x v="1"/>
    </i>
    <i t="grand">
      <x/>
    </i>
  </rowItems>
  <colItems count="1">
    <i/>
  </colItems>
  <dataFields count="1">
    <dataField name="Sum of Profit ($)" fld="8" baseField="0" baseItem="0"/>
  </dataFields>
  <chartFormats count="6">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3" count="1" selected="0">
            <x v="0"/>
          </reference>
        </references>
      </pivotArea>
    </chartFormat>
    <chartFormat chart="13" format="13">
      <pivotArea type="data" outline="0" fieldPosition="0">
        <references count="2">
          <reference field="4294967294" count="1" selected="0">
            <x v="0"/>
          </reference>
          <reference field="3"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3" count="1" selected="0">
            <x v="0"/>
          </reference>
        </references>
      </pivotArea>
    </chartFormat>
    <chartFormat chart="14" format="1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703AB5-BC85-426B-B9AE-0D13AC56913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E9" firstHeaderRow="1" firstDataRow="1" firstDataCol="1"/>
  <pivotFields count="9">
    <pivotField showAll="0"/>
    <pivotField showAll="0"/>
    <pivotField showAll="0"/>
    <pivotField showAll="0"/>
    <pivotField showAll="0"/>
    <pivotField axis="axisRow" showAll="0" measureFilter="1">
      <items count="12">
        <item x="8"/>
        <item x="7"/>
        <item x="4"/>
        <item x="9"/>
        <item x="2"/>
        <item x="3"/>
        <item x="1"/>
        <item x="6"/>
        <item x="10"/>
        <item x="0"/>
        <item x="5"/>
        <item t="default"/>
      </items>
    </pivotField>
    <pivotField showAll="0"/>
    <pivotField dataField="1" showAll="0"/>
    <pivotField showAll="0"/>
  </pivotFields>
  <rowFields count="1">
    <field x="5"/>
  </rowFields>
  <rowItems count="5">
    <i>
      <x/>
    </i>
    <i>
      <x v="1"/>
    </i>
    <i>
      <x v="3"/>
    </i>
    <i>
      <x v="5"/>
    </i>
    <i t="grand">
      <x/>
    </i>
  </rowItems>
  <colItems count="1">
    <i/>
  </colItems>
  <dataFields count="1">
    <dataField name="Sum of Profit ($)" fld="7"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valueGreaterThanOrEqual" evalOrder="-1" id="4" iMeasureFld="0">
      <autoFilter ref="A1">
        <filterColumn colId="0">
          <customFilters>
            <customFilter operator="greaterThanOrEqual" val="25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E10D8C-86CF-421B-A1FD-D5860B988A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16" firstHeaderRow="1" firstDataRow="1" firstDataCol="1"/>
  <pivotFields count="11">
    <pivotField showAll="0"/>
    <pivotField showAll="0">
      <items count="6">
        <item x="1"/>
        <item x="0"/>
        <item x="4"/>
        <item x="2"/>
        <item x="3"/>
        <item t="default"/>
      </items>
    </pivotField>
    <pivotField showAll="0"/>
    <pivotField showAll="0">
      <items count="3">
        <item x="1"/>
        <item x="0"/>
        <item t="default"/>
      </items>
    </pivotField>
    <pivotField axis="axisRow" showAll="0">
      <items count="13">
        <item x="3"/>
        <item x="2"/>
        <item x="1"/>
        <item x="0"/>
        <item x="8"/>
        <item x="7"/>
        <item x="5"/>
        <item x="11"/>
        <item x="4"/>
        <item x="10"/>
        <item x="6"/>
        <item x="9"/>
        <item t="default"/>
      </items>
    </pivotField>
    <pivotField showAll="0"/>
    <pivotField showAll="0">
      <items count="11">
        <item x="8"/>
        <item x="6"/>
        <item x="1"/>
        <item x="4"/>
        <item x="7"/>
        <item x="9"/>
        <item x="0"/>
        <item x="3"/>
        <item x="5"/>
        <item x="2"/>
        <item t="default"/>
      </items>
    </pivotField>
    <pivotField showAll="0">
      <items count="103">
        <item x="18"/>
        <item x="46"/>
        <item x="68"/>
        <item x="51"/>
        <item x="16"/>
        <item x="12"/>
        <item x="2"/>
        <item x="23"/>
        <item x="3"/>
        <item x="17"/>
        <item x="7"/>
        <item x="55"/>
        <item x="81"/>
        <item x="71"/>
        <item x="37"/>
        <item x="94"/>
        <item x="21"/>
        <item x="72"/>
        <item x="59"/>
        <item x="75"/>
        <item x="49"/>
        <item x="6"/>
        <item x="8"/>
        <item x="20"/>
        <item x="41"/>
        <item x="77"/>
        <item x="84"/>
        <item x="44"/>
        <item x="42"/>
        <item x="0"/>
        <item x="26"/>
        <item x="1"/>
        <item x="10"/>
        <item x="85"/>
        <item x="96"/>
        <item x="87"/>
        <item x="79"/>
        <item x="69"/>
        <item x="83"/>
        <item x="11"/>
        <item x="73"/>
        <item x="90"/>
        <item x="70"/>
        <item x="27"/>
        <item x="56"/>
        <item x="91"/>
        <item x="64"/>
        <item x="95"/>
        <item x="88"/>
        <item x="35"/>
        <item x="98"/>
        <item x="48"/>
        <item x="63"/>
        <item x="76"/>
        <item x="25"/>
        <item x="31"/>
        <item x="101"/>
        <item x="22"/>
        <item x="5"/>
        <item x="36"/>
        <item x="61"/>
        <item x="4"/>
        <item x="40"/>
        <item x="92"/>
        <item x="100"/>
        <item x="28"/>
        <item x="62"/>
        <item x="33"/>
        <item x="32"/>
        <item x="19"/>
        <item x="97"/>
        <item x="57"/>
        <item x="58"/>
        <item x="47"/>
        <item x="53"/>
        <item x="24"/>
        <item x="80"/>
        <item x="65"/>
        <item x="29"/>
        <item x="67"/>
        <item x="38"/>
        <item x="50"/>
        <item x="30"/>
        <item x="78"/>
        <item x="93"/>
        <item x="34"/>
        <item x="74"/>
        <item x="14"/>
        <item x="52"/>
        <item x="54"/>
        <item x="13"/>
        <item x="43"/>
        <item x="60"/>
        <item x="89"/>
        <item x="99"/>
        <item x="45"/>
        <item x="66"/>
        <item x="86"/>
        <item x="15"/>
        <item x="82"/>
        <item x="9"/>
        <item x="39"/>
        <item t="default"/>
      </items>
    </pivotField>
    <pivotField dataField="1" showAll="0">
      <items count="103">
        <item x="82"/>
        <item x="66"/>
        <item x="53"/>
        <item x="92"/>
        <item x="47"/>
        <item x="31"/>
        <item x="98"/>
        <item x="64"/>
        <item x="91"/>
        <item x="25"/>
        <item x="22"/>
        <item x="0"/>
        <item x="50"/>
        <item x="26"/>
        <item x="62"/>
        <item x="24"/>
        <item x="80"/>
        <item x="20"/>
        <item x="69"/>
        <item x="28"/>
        <item x="48"/>
        <item x="72"/>
        <item x="23"/>
        <item x="59"/>
        <item x="77"/>
        <item x="55"/>
        <item x="95"/>
        <item x="73"/>
        <item x="83"/>
        <item x="29"/>
        <item x="79"/>
        <item x="56"/>
        <item x="2"/>
        <item x="99"/>
        <item x="8"/>
        <item x="75"/>
        <item x="16"/>
        <item x="12"/>
        <item x="97"/>
        <item x="30"/>
        <item x="84"/>
        <item x="61"/>
        <item x="70"/>
        <item x="3"/>
        <item x="34"/>
        <item x="37"/>
        <item x="85"/>
        <item x="4"/>
        <item x="18"/>
        <item x="44"/>
        <item x="94"/>
        <item x="43"/>
        <item x="21"/>
        <item x="17"/>
        <item x="46"/>
        <item x="96"/>
        <item x="7"/>
        <item x="68"/>
        <item x="33"/>
        <item x="19"/>
        <item x="81"/>
        <item x="52"/>
        <item x="32"/>
        <item x="49"/>
        <item x="51"/>
        <item x="100"/>
        <item x="39"/>
        <item x="71"/>
        <item x="14"/>
        <item x="11"/>
        <item x="15"/>
        <item x="65"/>
        <item x="89"/>
        <item x="1"/>
        <item x="40"/>
        <item x="10"/>
        <item x="88"/>
        <item x="6"/>
        <item x="87"/>
        <item x="36"/>
        <item x="41"/>
        <item x="86"/>
        <item x="90"/>
        <item x="57"/>
        <item x="42"/>
        <item x="27"/>
        <item x="93"/>
        <item x="63"/>
        <item x="5"/>
        <item x="74"/>
        <item x="35"/>
        <item x="45"/>
        <item x="76"/>
        <item x="101"/>
        <item x="60"/>
        <item x="13"/>
        <item x="58"/>
        <item x="9"/>
        <item x="38"/>
        <item x="78"/>
        <item x="54"/>
        <item x="67"/>
        <item t="default"/>
      </items>
    </pivotField>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Profi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148753-BC03-4272-BDB5-4B23C524ED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9:F30" firstHeaderRow="1" firstDataRow="1" firstDataCol="1"/>
  <pivotFields count="11">
    <pivotField showAll="0"/>
    <pivotField showAll="0">
      <items count="6">
        <item x="1"/>
        <item x="0"/>
        <item x="4"/>
        <item x="2"/>
        <item x="3"/>
        <item t="default"/>
      </items>
    </pivotField>
    <pivotField showAll="0"/>
    <pivotField showAll="0">
      <items count="3">
        <item x="1"/>
        <item x="0"/>
        <item t="default"/>
      </items>
    </pivotField>
    <pivotField showAll="0">
      <items count="13">
        <item x="3"/>
        <item x="2"/>
        <item x="1"/>
        <item x="0"/>
        <item x="8"/>
        <item x="7"/>
        <item x="5"/>
        <item x="11"/>
        <item x="4"/>
        <item x="10"/>
        <item x="6"/>
        <item x="9"/>
        <item t="default"/>
      </items>
    </pivotField>
    <pivotField axis="axisRow" showAll="0">
      <items count="11">
        <item x="3"/>
        <item x="4"/>
        <item x="5"/>
        <item x="2"/>
        <item x="9"/>
        <item x="8"/>
        <item x="0"/>
        <item x="1"/>
        <item x="6"/>
        <item x="7"/>
        <item t="default"/>
      </items>
    </pivotField>
    <pivotField showAll="0"/>
    <pivotField dataField="1"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Sales ($)" fld="7" baseField="0" baseItem="0"/>
  </dataFields>
  <chartFormats count="2">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8513A9-44C3-4635-994F-99E5AF5F2076}" sourceName="Month">
  <pivotTables>
    <pivotTable tabId="2" name="PivotTable3"/>
    <pivotTable tabId="2" name="PivotTable1"/>
    <pivotTable tabId="2" name="PivotTable10"/>
    <pivotTable tabId="2" name="PivotTable4"/>
    <pivotTable tabId="2" name="PivotTable5"/>
    <pivotTable tabId="2" name="PivotTable9"/>
  </pivotTables>
  <data>
    <tabular pivotCacheId="1378335237">
      <items count="12">
        <i x="3" s="1"/>
        <i x="2" s="1"/>
        <i x="1" s="1"/>
        <i x="0" s="1"/>
        <i x="8" s="1"/>
        <i x="7" s="1"/>
        <i x="5" s="1"/>
        <i x="11" s="1"/>
        <i x="4" s="1"/>
        <i x="10" s="1"/>
        <i x="6"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3274D4-9959-4AB5-A62F-5EA0A5451EB9}" sourceName="Category">
  <pivotTables>
    <pivotTable tabId="2" name="PivotTable3"/>
    <pivotTable tabId="2" name="PivotTable1"/>
    <pivotTable tabId="2" name="PivotTable10"/>
    <pivotTable tabId="2" name="PivotTable4"/>
    <pivotTable tabId="2" name="PivotTable5"/>
    <pivotTable tabId="2" name="PivotTable9"/>
  </pivotTables>
  <data>
    <tabular pivotCacheId="1378335237">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090344-073C-4023-A030-9F620A79EB11}" sourceName="Year">
  <pivotTables>
    <pivotTable tabId="2" name="PivotTable3"/>
    <pivotTable tabId="2" name="PivotTable1"/>
    <pivotTable tabId="2" name="PivotTable10"/>
    <pivotTable tabId="2" name="PivotTable4"/>
    <pivotTable tabId="2" name="PivotTable5"/>
    <pivotTable tabId="2" name="PivotTable9"/>
  </pivotTables>
  <data>
    <tabular pivotCacheId="137833523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4B964E0-C024-4F58-84E0-2D5055E0547D}" cache="Slicer_Month" caption="Month" style="SlicerStyleDark1" rowHeight="234950"/>
  <slicer name="Category 1" xr10:uid="{276EA823-64A6-4A42-8FE9-A6FBF4DACCA1}" cache="Slicer_Category" caption="Category" style="SlicerStyleDark1" rowHeight="234950"/>
  <slicer name="Year 1" xr10:uid="{1C9097FE-8F87-47EC-AEBC-D01FFE05F75D}" cache="Slicer_Year" caption="Year" style="SlicerStyleDark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1897E-44CA-4AE0-B550-FE7B8B491733}">
  <dimension ref="A1"/>
  <sheetViews>
    <sheetView tabSelected="1" zoomScale="58" zoomScaleNormal="75" workbookViewId="0">
      <selection activeCell="AF32" sqref="AF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4676E-70D9-4455-9FED-EA10D73BD657}">
  <dimension ref="A3:O46"/>
  <sheetViews>
    <sheetView topLeftCell="A4" zoomScale="63" workbookViewId="0">
      <selection activeCell="J24" sqref="J24"/>
    </sheetView>
  </sheetViews>
  <sheetFormatPr defaultRowHeight="14.4" x14ac:dyDescent="0.3"/>
  <cols>
    <col min="1" max="1" width="14.5546875" bestFit="1" customWidth="1"/>
    <col min="2" max="2" width="15.77734375" bestFit="1" customWidth="1"/>
    <col min="4" max="4" width="19.77734375" bestFit="1" customWidth="1"/>
    <col min="5" max="5" width="15.77734375" bestFit="1" customWidth="1"/>
    <col min="6" max="6" width="15.6640625" bestFit="1" customWidth="1"/>
    <col min="7" max="7" width="5" bestFit="1" customWidth="1"/>
    <col min="8" max="8" width="32.33203125" bestFit="1" customWidth="1"/>
    <col min="9" max="9" width="15.6640625" bestFit="1" customWidth="1"/>
    <col min="11" max="11" width="14.5546875" bestFit="1" customWidth="1"/>
    <col min="12" max="12" width="22" bestFit="1" customWidth="1"/>
    <col min="13" max="13" width="21.44140625" bestFit="1" customWidth="1"/>
    <col min="14" max="14" width="14.5546875" bestFit="1" customWidth="1"/>
    <col min="15" max="15" width="15.6640625" bestFit="1" customWidth="1"/>
  </cols>
  <sheetData>
    <row r="3" spans="1:15" x14ac:dyDescent="0.3">
      <c r="A3" s="3" t="s">
        <v>61</v>
      </c>
      <c r="B3" t="s">
        <v>63</v>
      </c>
      <c r="H3" s="3" t="s">
        <v>61</v>
      </c>
      <c r="I3" t="s">
        <v>63</v>
      </c>
      <c r="K3" s="3" t="s">
        <v>61</v>
      </c>
      <c r="L3" t="s">
        <v>65</v>
      </c>
      <c r="N3" s="3" t="s">
        <v>61</v>
      </c>
      <c r="O3" t="s">
        <v>64</v>
      </c>
    </row>
    <row r="4" spans="1:15" x14ac:dyDescent="0.3">
      <c r="A4" s="4">
        <v>2023</v>
      </c>
      <c r="B4" s="7">
        <v>157612.93999999997</v>
      </c>
      <c r="D4" s="3" t="s">
        <v>61</v>
      </c>
      <c r="E4" t="s">
        <v>63</v>
      </c>
      <c r="H4" s="4" t="s">
        <v>12</v>
      </c>
      <c r="I4" s="7">
        <v>7166.78</v>
      </c>
      <c r="K4" s="4">
        <v>2023</v>
      </c>
      <c r="L4" s="7">
        <v>668</v>
      </c>
      <c r="N4" s="4" t="s">
        <v>12</v>
      </c>
      <c r="O4" s="7">
        <v>147400.78</v>
      </c>
    </row>
    <row r="5" spans="1:15" x14ac:dyDescent="0.3">
      <c r="A5" s="4">
        <v>2024</v>
      </c>
      <c r="B5" s="7">
        <v>100469.49999999999</v>
      </c>
      <c r="D5" s="4" t="s">
        <v>74</v>
      </c>
      <c r="E5">
        <v>29451.230000000007</v>
      </c>
      <c r="H5" s="4" t="s">
        <v>11</v>
      </c>
      <c r="I5" s="7">
        <v>18619.879999999997</v>
      </c>
      <c r="K5" s="4">
        <v>2024</v>
      </c>
      <c r="L5" s="7">
        <v>415</v>
      </c>
      <c r="N5" s="4" t="s">
        <v>11</v>
      </c>
      <c r="O5" s="7">
        <v>194652.64</v>
      </c>
    </row>
    <row r="6" spans="1:15" x14ac:dyDescent="0.3">
      <c r="A6" s="4" t="s">
        <v>62</v>
      </c>
      <c r="B6" s="7">
        <v>258082.43999999994</v>
      </c>
      <c r="D6" s="4" t="s">
        <v>73</v>
      </c>
      <c r="E6">
        <v>41842.649999999994</v>
      </c>
      <c r="H6" s="4" t="s">
        <v>10</v>
      </c>
      <c r="I6" s="7">
        <v>-2269.7999999999997</v>
      </c>
      <c r="K6" s="4" t="s">
        <v>62</v>
      </c>
      <c r="L6" s="7">
        <v>1083</v>
      </c>
      <c r="N6" s="4" t="s">
        <v>10</v>
      </c>
      <c r="O6" s="7">
        <v>205971.97</v>
      </c>
    </row>
    <row r="7" spans="1:15" x14ac:dyDescent="0.3">
      <c r="D7" s="4" t="s">
        <v>75</v>
      </c>
      <c r="E7">
        <v>45914.37000000001</v>
      </c>
      <c r="H7" s="4" t="s">
        <v>9</v>
      </c>
      <c r="I7" s="7">
        <v>39574.990000000005</v>
      </c>
      <c r="N7" s="4" t="s">
        <v>9</v>
      </c>
      <c r="O7" s="7">
        <v>377444.82</v>
      </c>
    </row>
    <row r="8" spans="1:15" x14ac:dyDescent="0.3">
      <c r="D8" s="4" t="s">
        <v>69</v>
      </c>
      <c r="E8">
        <v>26538.86</v>
      </c>
      <c r="H8" s="4" t="s">
        <v>17</v>
      </c>
      <c r="I8" s="7">
        <v>30727.670000000002</v>
      </c>
      <c r="N8" s="4" t="s">
        <v>17</v>
      </c>
      <c r="O8" s="7">
        <v>432566.44</v>
      </c>
    </row>
    <row r="9" spans="1:15" x14ac:dyDescent="0.3">
      <c r="D9" s="4" t="s">
        <v>62</v>
      </c>
      <c r="E9">
        <v>143747.11000000002</v>
      </c>
      <c r="H9" s="4" t="s">
        <v>16</v>
      </c>
      <c r="I9" s="7">
        <v>44207.79</v>
      </c>
      <c r="N9" s="4" t="s">
        <v>16</v>
      </c>
      <c r="O9" s="7">
        <v>433317.72000000009</v>
      </c>
    </row>
    <row r="10" spans="1:15" x14ac:dyDescent="0.3">
      <c r="B10" s="5">
        <f>GETPIVOTDATA("Profit ($)",$A$3)</f>
        <v>258082.43999999994</v>
      </c>
      <c r="H10" s="4" t="s">
        <v>14</v>
      </c>
      <c r="I10" s="7">
        <v>34839.24</v>
      </c>
      <c r="N10" s="4" t="s">
        <v>14</v>
      </c>
      <c r="O10" s="7">
        <v>135758.04999999999</v>
      </c>
    </row>
    <row r="11" spans="1:15" x14ac:dyDescent="0.3">
      <c r="B11" s="5">
        <f>GETPIVOTDATA("Sales ($)",$E$19)</f>
        <v>2830006.98</v>
      </c>
      <c r="H11" s="4" t="s">
        <v>20</v>
      </c>
      <c r="I11" s="7">
        <v>-783.55999999999949</v>
      </c>
      <c r="N11" s="4" t="s">
        <v>20</v>
      </c>
      <c r="O11" s="7">
        <v>161001.57</v>
      </c>
    </row>
    <row r="12" spans="1:15" x14ac:dyDescent="0.3">
      <c r="H12" s="4" t="s">
        <v>13</v>
      </c>
      <c r="I12" s="7">
        <v>23308.11</v>
      </c>
      <c r="N12" s="4" t="s">
        <v>13</v>
      </c>
      <c r="O12" s="7">
        <v>147256.61000000002</v>
      </c>
    </row>
    <row r="13" spans="1:15" x14ac:dyDescent="0.3">
      <c r="H13" s="4" t="s">
        <v>19</v>
      </c>
      <c r="I13" s="7">
        <v>33213.409999999996</v>
      </c>
      <c r="N13" s="4" t="s">
        <v>19</v>
      </c>
      <c r="O13" s="7">
        <v>322327.91000000003</v>
      </c>
    </row>
    <row r="14" spans="1:15" x14ac:dyDescent="0.3">
      <c r="H14" s="4" t="s">
        <v>15</v>
      </c>
      <c r="I14" s="7">
        <v>24646.859999999997</v>
      </c>
      <c r="N14" s="4" t="s">
        <v>15</v>
      </c>
      <c r="O14" s="7">
        <v>232980.97</v>
      </c>
    </row>
    <row r="15" spans="1:15" x14ac:dyDescent="0.3">
      <c r="H15" s="4" t="s">
        <v>18</v>
      </c>
      <c r="I15" s="7">
        <v>4831.07</v>
      </c>
      <c r="N15" s="4" t="s">
        <v>18</v>
      </c>
      <c r="O15" s="7">
        <v>39327.5</v>
      </c>
    </row>
    <row r="16" spans="1:15" x14ac:dyDescent="0.3">
      <c r="A16" s="6"/>
      <c r="B16" s="6"/>
      <c r="C16" s="6"/>
      <c r="D16" s="6"/>
      <c r="H16" s="4" t="s">
        <v>62</v>
      </c>
      <c r="I16" s="7">
        <v>258082.43999999997</v>
      </c>
      <c r="N16" s="4" t="s">
        <v>62</v>
      </c>
      <c r="O16" s="7">
        <v>2830006.9800000004</v>
      </c>
    </row>
    <row r="17" spans="1:9" x14ac:dyDescent="0.3">
      <c r="A17" s="6"/>
      <c r="B17" s="6"/>
      <c r="C17" s="6"/>
      <c r="D17" s="6"/>
    </row>
    <row r="18" spans="1:9" x14ac:dyDescent="0.3">
      <c r="A18" s="6"/>
      <c r="B18" s="6"/>
      <c r="C18" s="6"/>
      <c r="D18" s="6"/>
    </row>
    <row r="19" spans="1:9" x14ac:dyDescent="0.3">
      <c r="A19" s="6"/>
      <c r="B19" s="6"/>
      <c r="C19" s="6"/>
      <c r="D19" s="6"/>
      <c r="E19" s="3" t="s">
        <v>61</v>
      </c>
      <c r="F19" t="s">
        <v>64</v>
      </c>
    </row>
    <row r="20" spans="1:9" x14ac:dyDescent="0.3">
      <c r="A20" s="6"/>
      <c r="B20" s="6"/>
      <c r="C20" s="6"/>
      <c r="D20" s="6"/>
      <c r="E20" s="4" t="s">
        <v>54</v>
      </c>
      <c r="F20" s="7">
        <v>314081.98</v>
      </c>
      <c r="H20" s="3" t="s">
        <v>61</v>
      </c>
      <c r="I20" t="s">
        <v>64</v>
      </c>
    </row>
    <row r="21" spans="1:9" x14ac:dyDescent="0.3">
      <c r="A21" s="6"/>
      <c r="B21" s="6"/>
      <c r="C21" s="6"/>
      <c r="D21" s="6"/>
      <c r="E21" s="4" t="s">
        <v>55</v>
      </c>
      <c r="F21" s="7">
        <v>144244.80000000002</v>
      </c>
      <c r="H21" s="4" t="s">
        <v>37</v>
      </c>
      <c r="I21" s="7">
        <v>166222.04</v>
      </c>
    </row>
    <row r="22" spans="1:9" x14ac:dyDescent="0.3">
      <c r="A22" s="6"/>
      <c r="B22" s="6"/>
      <c r="C22" s="6"/>
      <c r="D22" s="6"/>
      <c r="E22" s="4" t="s">
        <v>56</v>
      </c>
      <c r="F22" s="7">
        <v>263385.03999999998</v>
      </c>
      <c r="H22" s="4" t="s">
        <v>33</v>
      </c>
      <c r="I22" s="7">
        <v>124408.62999999999</v>
      </c>
    </row>
    <row r="23" spans="1:9" x14ac:dyDescent="0.3">
      <c r="A23" s="6"/>
      <c r="B23" s="6"/>
      <c r="C23" s="6"/>
      <c r="D23" s="6"/>
      <c r="E23" s="4" t="s">
        <v>53</v>
      </c>
      <c r="F23" s="7">
        <v>335193.68</v>
      </c>
      <c r="H23" s="4" t="s">
        <v>22</v>
      </c>
      <c r="I23" s="7">
        <v>189173.26</v>
      </c>
    </row>
    <row r="24" spans="1:9" x14ac:dyDescent="0.3">
      <c r="A24" s="6"/>
      <c r="B24" s="6"/>
      <c r="C24" s="6"/>
      <c r="D24" s="6"/>
      <c r="E24" s="4" t="s">
        <v>60</v>
      </c>
      <c r="F24" s="7">
        <v>279701.26999999996</v>
      </c>
      <c r="H24" s="4" t="s">
        <v>30</v>
      </c>
      <c r="I24" s="7">
        <v>91957.87999999999</v>
      </c>
    </row>
    <row r="25" spans="1:9" x14ac:dyDescent="0.3">
      <c r="A25" s="6"/>
      <c r="B25" s="6"/>
      <c r="C25" s="6"/>
      <c r="D25" s="6"/>
      <c r="E25" s="4" t="s">
        <v>59</v>
      </c>
      <c r="F25" s="7">
        <v>347730.97</v>
      </c>
      <c r="H25" s="4" t="s">
        <v>43</v>
      </c>
      <c r="I25" s="7">
        <v>145259.72</v>
      </c>
    </row>
    <row r="26" spans="1:9" x14ac:dyDescent="0.3">
      <c r="A26" s="6"/>
      <c r="B26" s="6"/>
      <c r="C26" s="6"/>
      <c r="D26" s="6"/>
      <c r="E26" s="4" t="s">
        <v>51</v>
      </c>
      <c r="F26" s="7">
        <v>288443.21000000002</v>
      </c>
      <c r="H26" s="4" t="s">
        <v>41</v>
      </c>
      <c r="I26" s="7">
        <v>114024.48999999999</v>
      </c>
    </row>
    <row r="27" spans="1:9" x14ac:dyDescent="0.3">
      <c r="E27" s="4" t="s">
        <v>52</v>
      </c>
      <c r="F27" s="7">
        <v>132158.84</v>
      </c>
      <c r="H27" s="4" t="s">
        <v>26</v>
      </c>
      <c r="I27" s="7">
        <v>111204.18</v>
      </c>
    </row>
    <row r="28" spans="1:9" x14ac:dyDescent="0.3">
      <c r="E28" s="4" t="s">
        <v>57</v>
      </c>
      <c r="F28" s="7">
        <v>504916.76</v>
      </c>
      <c r="H28" s="4" t="s">
        <v>42</v>
      </c>
      <c r="I28" s="7">
        <v>118308.19</v>
      </c>
    </row>
    <row r="29" spans="1:9" x14ac:dyDescent="0.3">
      <c r="E29" s="4" t="s">
        <v>58</v>
      </c>
      <c r="F29" s="7">
        <v>220150.43</v>
      </c>
      <c r="H29" s="4" t="s">
        <v>36</v>
      </c>
      <c r="I29" s="7">
        <v>159168.97999999998</v>
      </c>
    </row>
    <row r="30" spans="1:9" x14ac:dyDescent="0.3">
      <c r="E30" s="4" t="s">
        <v>62</v>
      </c>
      <c r="F30" s="7">
        <v>2830006.98</v>
      </c>
      <c r="H30" s="4" t="s">
        <v>27</v>
      </c>
      <c r="I30" s="7">
        <v>149902.5</v>
      </c>
    </row>
    <row r="31" spans="1:9" x14ac:dyDescent="0.3">
      <c r="H31" s="4" t="s">
        <v>45</v>
      </c>
      <c r="I31" s="7">
        <v>40598.089999999997</v>
      </c>
    </row>
    <row r="32" spans="1:9" x14ac:dyDescent="0.3">
      <c r="H32" s="4" t="s">
        <v>28</v>
      </c>
      <c r="I32" s="7">
        <v>39167.050000000003</v>
      </c>
    </row>
    <row r="33" spans="8:9" x14ac:dyDescent="0.3">
      <c r="H33" s="4" t="s">
        <v>29</v>
      </c>
      <c r="I33" s="7">
        <v>73722.709999999992</v>
      </c>
    </row>
    <row r="34" spans="8:9" x14ac:dyDescent="0.3">
      <c r="H34" s="4" t="s">
        <v>31</v>
      </c>
      <c r="I34" s="7">
        <v>81832.710000000006</v>
      </c>
    </row>
    <row r="35" spans="8:9" x14ac:dyDescent="0.3">
      <c r="H35" s="4" t="s">
        <v>25</v>
      </c>
      <c r="I35" s="7">
        <v>141679.93</v>
      </c>
    </row>
    <row r="36" spans="8:9" x14ac:dyDescent="0.3">
      <c r="H36" s="4" t="s">
        <v>21</v>
      </c>
      <c r="I36" s="7">
        <v>48201.270000000004</v>
      </c>
    </row>
    <row r="37" spans="8:9" x14ac:dyDescent="0.3">
      <c r="H37" s="4" t="s">
        <v>39</v>
      </c>
      <c r="I37" s="7">
        <v>99641.11</v>
      </c>
    </row>
    <row r="38" spans="8:9" x14ac:dyDescent="0.3">
      <c r="H38" s="4" t="s">
        <v>35</v>
      </c>
      <c r="I38" s="7">
        <v>47969.58</v>
      </c>
    </row>
    <row r="39" spans="8:9" x14ac:dyDescent="0.3">
      <c r="H39" s="4" t="s">
        <v>40</v>
      </c>
      <c r="I39" s="7">
        <v>160961.04999999999</v>
      </c>
    </row>
    <row r="40" spans="8:9" x14ac:dyDescent="0.3">
      <c r="H40" s="4" t="s">
        <v>44</v>
      </c>
      <c r="I40" s="7">
        <v>86961.239999999991</v>
      </c>
    </row>
    <row r="41" spans="8:9" x14ac:dyDescent="0.3">
      <c r="H41" s="4" t="s">
        <v>38</v>
      </c>
      <c r="I41" s="7">
        <v>197682.52000000002</v>
      </c>
    </row>
    <row r="42" spans="8:9" x14ac:dyDescent="0.3">
      <c r="H42" s="4" t="s">
        <v>34</v>
      </c>
      <c r="I42" s="7">
        <v>62583.659999999996</v>
      </c>
    </row>
    <row r="43" spans="8:9" x14ac:dyDescent="0.3">
      <c r="H43" s="4" t="s">
        <v>23</v>
      </c>
      <c r="I43" s="7">
        <v>159909.31</v>
      </c>
    </row>
    <row r="44" spans="8:9" x14ac:dyDescent="0.3">
      <c r="H44" s="4" t="s">
        <v>32</v>
      </c>
      <c r="I44" s="7">
        <v>52311</v>
      </c>
    </row>
    <row r="45" spans="8:9" x14ac:dyDescent="0.3">
      <c r="H45" s="4" t="s">
        <v>24</v>
      </c>
      <c r="I45" s="7">
        <v>167155.88</v>
      </c>
    </row>
    <row r="46" spans="8:9" x14ac:dyDescent="0.3">
      <c r="H46" s="4" t="s">
        <v>62</v>
      </c>
      <c r="I46" s="7">
        <v>2830006.9800000004</v>
      </c>
    </row>
  </sheetData>
  <mergeCells count="1">
    <mergeCell ref="A16:D26"/>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3"/>
  <sheetViews>
    <sheetView zoomScale="87" workbookViewId="0">
      <selection activeCell="J27" sqref="J27"/>
    </sheetView>
  </sheetViews>
  <sheetFormatPr defaultRowHeight="14.4" x14ac:dyDescent="0.3"/>
  <cols>
    <col min="1" max="1" width="27" bestFit="1" customWidth="1"/>
    <col min="2" max="2" width="9.44140625" bestFit="1" customWidth="1"/>
    <col min="4" max="4" width="9.77734375" bestFit="1" customWidth="1"/>
    <col min="6" max="6" width="19.77734375" bestFit="1" customWidth="1"/>
    <col min="9" max="9" width="14.77734375" bestFit="1" customWidth="1"/>
  </cols>
  <sheetData>
    <row r="1" spans="1:9" x14ac:dyDescent="0.3">
      <c r="A1" s="2" t="s">
        <v>2</v>
      </c>
      <c r="B1" s="2" t="s">
        <v>3</v>
      </c>
      <c r="C1" s="2" t="s">
        <v>0</v>
      </c>
      <c r="D1" s="2" t="s">
        <v>1</v>
      </c>
      <c r="E1" s="2" t="s">
        <v>4</v>
      </c>
      <c r="F1" s="2" t="s">
        <v>5</v>
      </c>
      <c r="G1" s="2" t="s">
        <v>6</v>
      </c>
      <c r="H1" s="2" t="s">
        <v>7</v>
      </c>
      <c r="I1" s="2" t="s">
        <v>8</v>
      </c>
    </row>
    <row r="2" spans="1:9" x14ac:dyDescent="0.3">
      <c r="A2" s="1" t="s">
        <v>21</v>
      </c>
      <c r="B2" s="1" t="s">
        <v>46</v>
      </c>
      <c r="C2" s="1">
        <v>2024</v>
      </c>
      <c r="D2" s="1" t="s">
        <v>9</v>
      </c>
      <c r="E2" s="1" t="s">
        <v>51</v>
      </c>
      <c r="F2" s="1" t="s">
        <v>66</v>
      </c>
      <c r="G2" s="1">
        <v>20819.61</v>
      </c>
      <c r="H2" s="1">
        <v>-3634.83</v>
      </c>
      <c r="I2" s="1">
        <v>12</v>
      </c>
    </row>
    <row r="3" spans="1:9" x14ac:dyDescent="0.3">
      <c r="A3" s="1" t="s">
        <v>22</v>
      </c>
      <c r="B3" s="1" t="s">
        <v>47</v>
      </c>
      <c r="C3" s="1">
        <v>2024</v>
      </c>
      <c r="D3" s="1" t="s">
        <v>10</v>
      </c>
      <c r="E3" s="1" t="s">
        <v>52</v>
      </c>
      <c r="F3" s="1" t="s">
        <v>67</v>
      </c>
      <c r="G3" s="1">
        <v>21349</v>
      </c>
      <c r="H3" s="1">
        <v>5991.76</v>
      </c>
      <c r="I3" s="1">
        <v>6</v>
      </c>
    </row>
    <row r="4" spans="1:9" x14ac:dyDescent="0.3">
      <c r="A4" s="1" t="s">
        <v>23</v>
      </c>
      <c r="B4" s="1" t="s">
        <v>48</v>
      </c>
      <c r="C4" s="1">
        <v>2023</v>
      </c>
      <c r="D4" s="1" t="s">
        <v>11</v>
      </c>
      <c r="E4" s="1" t="s">
        <v>53</v>
      </c>
      <c r="F4" s="1" t="s">
        <v>68</v>
      </c>
      <c r="G4" s="1">
        <v>10680.35</v>
      </c>
      <c r="H4" s="1">
        <v>-623.76</v>
      </c>
      <c r="I4" s="1">
        <v>12</v>
      </c>
    </row>
    <row r="5" spans="1:9" x14ac:dyDescent="0.3">
      <c r="A5" s="1" t="s">
        <v>24</v>
      </c>
      <c r="B5" s="1" t="s">
        <v>49</v>
      </c>
      <c r="C5" s="1">
        <v>2024</v>
      </c>
      <c r="D5" s="1" t="s">
        <v>12</v>
      </c>
      <c r="E5" s="1" t="s">
        <v>54</v>
      </c>
      <c r="F5" s="1" t="s">
        <v>68</v>
      </c>
      <c r="G5" s="1">
        <v>11904.72</v>
      </c>
      <c r="H5" s="1">
        <v>832.78</v>
      </c>
      <c r="I5" s="1">
        <v>12</v>
      </c>
    </row>
    <row r="6" spans="1:9" x14ac:dyDescent="0.3">
      <c r="A6" s="1" t="s">
        <v>25</v>
      </c>
      <c r="B6" s="1" t="s">
        <v>49</v>
      </c>
      <c r="C6" s="1">
        <v>2024</v>
      </c>
      <c r="D6" s="1" t="s">
        <v>12</v>
      </c>
      <c r="E6" s="1" t="s">
        <v>55</v>
      </c>
      <c r="F6" s="1" t="s">
        <v>69</v>
      </c>
      <c r="G6" s="1">
        <v>28825.69</v>
      </c>
      <c r="H6" s="1">
        <v>1119.03</v>
      </c>
      <c r="I6" s="1">
        <v>9</v>
      </c>
    </row>
    <row r="7" spans="1:9" x14ac:dyDescent="0.3">
      <c r="A7" s="1" t="s">
        <v>26</v>
      </c>
      <c r="B7" s="1" t="s">
        <v>50</v>
      </c>
      <c r="C7" s="1">
        <v>2023</v>
      </c>
      <c r="D7" s="1" t="s">
        <v>13</v>
      </c>
      <c r="E7" s="1" t="s">
        <v>51</v>
      </c>
      <c r="F7" s="1" t="s">
        <v>70</v>
      </c>
      <c r="G7" s="1">
        <v>28298.54</v>
      </c>
      <c r="H7" s="1">
        <v>9851.44</v>
      </c>
      <c r="I7" s="1">
        <v>4</v>
      </c>
    </row>
    <row r="8" spans="1:9" x14ac:dyDescent="0.3">
      <c r="A8" s="1" t="s">
        <v>27</v>
      </c>
      <c r="B8" s="1" t="s">
        <v>47</v>
      </c>
      <c r="C8" s="1">
        <v>2023</v>
      </c>
      <c r="D8" s="1" t="s">
        <v>13</v>
      </c>
      <c r="E8" s="1" t="s">
        <v>56</v>
      </c>
      <c r="F8" s="1" t="s">
        <v>71</v>
      </c>
      <c r="G8" s="1">
        <v>17850.96</v>
      </c>
      <c r="H8" s="1">
        <v>6245.83</v>
      </c>
      <c r="I8" s="1">
        <v>16</v>
      </c>
    </row>
    <row r="9" spans="1:9" x14ac:dyDescent="0.3">
      <c r="A9" s="1" t="s">
        <v>28</v>
      </c>
      <c r="B9" s="1" t="s">
        <v>50</v>
      </c>
      <c r="C9" s="1">
        <v>2023</v>
      </c>
      <c r="D9" s="1" t="s">
        <v>14</v>
      </c>
      <c r="E9" s="1" t="s">
        <v>52</v>
      </c>
      <c r="F9" s="1" t="s">
        <v>72</v>
      </c>
      <c r="G9" s="1">
        <v>12769.54</v>
      </c>
      <c r="H9" s="1">
        <v>2911.74</v>
      </c>
      <c r="I9" s="1">
        <v>3</v>
      </c>
    </row>
    <row r="10" spans="1:9" x14ac:dyDescent="0.3">
      <c r="A10" s="1" t="s">
        <v>22</v>
      </c>
      <c r="B10" s="1" t="s">
        <v>47</v>
      </c>
      <c r="C10" s="1">
        <v>2023</v>
      </c>
      <c r="D10" s="1" t="s">
        <v>15</v>
      </c>
      <c r="E10" s="1" t="s">
        <v>57</v>
      </c>
      <c r="F10" s="1" t="s">
        <v>73</v>
      </c>
      <c r="G10" s="1">
        <v>18066.3</v>
      </c>
      <c r="H10" s="1">
        <v>-361.8</v>
      </c>
      <c r="I10" s="1">
        <v>6</v>
      </c>
    </row>
    <row r="11" spans="1:9" x14ac:dyDescent="0.3">
      <c r="A11" s="1" t="s">
        <v>29</v>
      </c>
      <c r="B11" s="1" t="s">
        <v>47</v>
      </c>
      <c r="C11" s="1">
        <v>2023</v>
      </c>
      <c r="D11" s="1" t="s">
        <v>16</v>
      </c>
      <c r="E11" s="1" t="s">
        <v>56</v>
      </c>
      <c r="F11" s="1" t="s">
        <v>74</v>
      </c>
      <c r="G11" s="1">
        <v>49330.96</v>
      </c>
      <c r="H11" s="1">
        <v>13577.82</v>
      </c>
      <c r="I11" s="1">
        <v>8</v>
      </c>
    </row>
    <row r="12" spans="1:9" x14ac:dyDescent="0.3">
      <c r="A12" s="1" t="s">
        <v>30</v>
      </c>
      <c r="B12" s="1" t="s">
        <v>50</v>
      </c>
      <c r="C12" s="1">
        <v>2024</v>
      </c>
      <c r="D12" s="1" t="s">
        <v>17</v>
      </c>
      <c r="E12" s="1" t="s">
        <v>57</v>
      </c>
      <c r="F12" s="1" t="s">
        <v>75</v>
      </c>
      <c r="G12" s="1">
        <v>21601</v>
      </c>
      <c r="H12" s="1">
        <v>6095.74</v>
      </c>
      <c r="I12" s="1">
        <v>18</v>
      </c>
    </row>
    <row r="13" spans="1:9" x14ac:dyDescent="0.3">
      <c r="A13" s="1" t="s">
        <v>31</v>
      </c>
      <c r="B13" s="1" t="s">
        <v>46</v>
      </c>
      <c r="C13" s="1">
        <v>2023</v>
      </c>
      <c r="D13" s="1" t="s">
        <v>17</v>
      </c>
      <c r="E13" s="1" t="s">
        <v>52</v>
      </c>
      <c r="F13" s="1" t="s">
        <v>66</v>
      </c>
      <c r="G13" s="1">
        <v>22917.200000000001</v>
      </c>
      <c r="H13" s="1">
        <v>5274.63</v>
      </c>
      <c r="I13" s="1">
        <v>16</v>
      </c>
    </row>
    <row r="14" spans="1:9" x14ac:dyDescent="0.3">
      <c r="A14" s="1" t="s">
        <v>32</v>
      </c>
      <c r="B14" s="1" t="s">
        <v>49</v>
      </c>
      <c r="C14" s="1">
        <v>2024</v>
      </c>
      <c r="D14" s="1" t="s">
        <v>16</v>
      </c>
      <c r="E14" s="1" t="s">
        <v>55</v>
      </c>
      <c r="F14" s="1" t="s">
        <v>67</v>
      </c>
      <c r="G14" s="1">
        <v>10639.71</v>
      </c>
      <c r="H14" s="1">
        <v>-104.09</v>
      </c>
      <c r="I14" s="1">
        <v>3</v>
      </c>
    </row>
    <row r="15" spans="1:9" x14ac:dyDescent="0.3">
      <c r="A15" s="1" t="s">
        <v>24</v>
      </c>
      <c r="B15" s="1" t="s">
        <v>49</v>
      </c>
      <c r="C15" s="1">
        <v>2024</v>
      </c>
      <c r="D15" s="1" t="s">
        <v>9</v>
      </c>
      <c r="E15" s="1" t="s">
        <v>58</v>
      </c>
      <c r="F15" s="1" t="s">
        <v>68</v>
      </c>
      <c r="G15" s="1">
        <v>44508.21</v>
      </c>
      <c r="H15" s="1">
        <v>11935.22</v>
      </c>
      <c r="I15" s="1">
        <v>19</v>
      </c>
    </row>
    <row r="16" spans="1:9" x14ac:dyDescent="0.3">
      <c r="A16" s="1" t="s">
        <v>33</v>
      </c>
      <c r="B16" s="1" t="s">
        <v>48</v>
      </c>
      <c r="C16" s="1">
        <v>2023</v>
      </c>
      <c r="D16" s="1" t="s">
        <v>14</v>
      </c>
      <c r="E16" s="1" t="s">
        <v>57</v>
      </c>
      <c r="F16" s="1" t="s">
        <v>68</v>
      </c>
      <c r="G16" s="1">
        <v>42412.59</v>
      </c>
      <c r="H16" s="1">
        <v>4701.91</v>
      </c>
      <c r="I16" s="1">
        <v>10</v>
      </c>
    </row>
    <row r="17" spans="1:9" x14ac:dyDescent="0.3">
      <c r="A17" s="1" t="s">
        <v>34</v>
      </c>
      <c r="B17" s="1" t="s">
        <v>48</v>
      </c>
      <c r="C17" s="1">
        <v>2023</v>
      </c>
      <c r="D17" s="1" t="s">
        <v>16</v>
      </c>
      <c r="E17" s="1" t="s">
        <v>56</v>
      </c>
      <c r="F17" s="1" t="s">
        <v>69</v>
      </c>
      <c r="G17" s="1">
        <v>47636.74</v>
      </c>
      <c r="H17" s="1">
        <v>5303.81</v>
      </c>
      <c r="I17" s="1">
        <v>10</v>
      </c>
    </row>
    <row r="18" spans="1:9" x14ac:dyDescent="0.3">
      <c r="A18" s="1" t="s">
        <v>35</v>
      </c>
      <c r="B18" s="1" t="s">
        <v>47</v>
      </c>
      <c r="C18" s="1">
        <v>2023</v>
      </c>
      <c r="D18" s="1" t="s">
        <v>10</v>
      </c>
      <c r="E18" s="1" t="s">
        <v>57</v>
      </c>
      <c r="F18" s="1" t="s">
        <v>70</v>
      </c>
      <c r="G18" s="1">
        <v>10632.66</v>
      </c>
      <c r="H18" s="1">
        <v>-194.63</v>
      </c>
      <c r="I18" s="1">
        <v>18</v>
      </c>
    </row>
    <row r="19" spans="1:9" x14ac:dyDescent="0.3">
      <c r="A19" s="1" t="s">
        <v>36</v>
      </c>
      <c r="B19" s="1" t="s">
        <v>46</v>
      </c>
      <c r="C19" s="1">
        <v>2023</v>
      </c>
      <c r="D19" s="1" t="s">
        <v>9</v>
      </c>
      <c r="E19" s="1" t="s">
        <v>55</v>
      </c>
      <c r="F19" s="1" t="s">
        <v>71</v>
      </c>
      <c r="G19" s="1">
        <v>11938.74</v>
      </c>
      <c r="H19" s="1">
        <v>2330.92</v>
      </c>
      <c r="I19" s="1">
        <v>20</v>
      </c>
    </row>
    <row r="20" spans="1:9" x14ac:dyDescent="0.3">
      <c r="A20" s="1" t="s">
        <v>31</v>
      </c>
      <c r="B20" s="1" t="s">
        <v>46</v>
      </c>
      <c r="C20" s="1">
        <v>2023</v>
      </c>
      <c r="D20" s="1" t="s">
        <v>18</v>
      </c>
      <c r="E20" s="1" t="s">
        <v>54</v>
      </c>
      <c r="F20" s="1" t="s">
        <v>72</v>
      </c>
      <c r="G20" s="1">
        <v>7045.78</v>
      </c>
      <c r="H20" s="1">
        <v>1302.57</v>
      </c>
      <c r="I20" s="1">
        <v>19</v>
      </c>
    </row>
    <row r="21" spans="1:9" x14ac:dyDescent="0.3">
      <c r="A21" s="1" t="s">
        <v>23</v>
      </c>
      <c r="B21" s="1" t="s">
        <v>48</v>
      </c>
      <c r="C21" s="1">
        <v>2023</v>
      </c>
      <c r="D21" s="1" t="s">
        <v>13</v>
      </c>
      <c r="E21" s="1" t="s">
        <v>59</v>
      </c>
      <c r="F21" s="1" t="s">
        <v>73</v>
      </c>
      <c r="G21" s="1">
        <v>33754.6</v>
      </c>
      <c r="H21" s="1">
        <v>3335.73</v>
      </c>
      <c r="I21" s="1">
        <v>18</v>
      </c>
    </row>
    <row r="22" spans="1:9" x14ac:dyDescent="0.3">
      <c r="A22" s="1" t="s">
        <v>27</v>
      </c>
      <c r="B22" s="1" t="s">
        <v>47</v>
      </c>
      <c r="C22" s="1">
        <v>2023</v>
      </c>
      <c r="D22" s="1" t="s">
        <v>19</v>
      </c>
      <c r="E22" s="1" t="s">
        <v>56</v>
      </c>
      <c r="F22" s="1" t="s">
        <v>74</v>
      </c>
      <c r="G22" s="1">
        <v>18384.52</v>
      </c>
      <c r="H22" s="1">
        <v>-2871.96</v>
      </c>
      <c r="I22" s="1">
        <v>2</v>
      </c>
    </row>
    <row r="23" spans="1:9" x14ac:dyDescent="0.3">
      <c r="A23" s="1" t="s">
        <v>32</v>
      </c>
      <c r="B23" s="1" t="s">
        <v>49</v>
      </c>
      <c r="C23" s="1">
        <v>2023</v>
      </c>
      <c r="D23" s="1" t="s">
        <v>16</v>
      </c>
      <c r="E23" s="1" t="s">
        <v>53</v>
      </c>
      <c r="F23" s="1" t="s">
        <v>66</v>
      </c>
      <c r="G23" s="1">
        <v>14181.04</v>
      </c>
      <c r="H23" s="1">
        <v>2325.64</v>
      </c>
      <c r="I23" s="1">
        <v>11</v>
      </c>
    </row>
    <row r="24" spans="1:9" x14ac:dyDescent="0.3">
      <c r="A24" s="1" t="s">
        <v>27</v>
      </c>
      <c r="B24" s="1" t="s">
        <v>47</v>
      </c>
      <c r="C24" s="1">
        <v>2023</v>
      </c>
      <c r="D24" s="1" t="s">
        <v>15</v>
      </c>
      <c r="E24" s="1" t="s">
        <v>51</v>
      </c>
      <c r="F24" s="1" t="s">
        <v>67</v>
      </c>
      <c r="G24" s="1">
        <v>28174.11</v>
      </c>
      <c r="H24" s="1">
        <v>-3839.84</v>
      </c>
      <c r="I24" s="1">
        <v>8</v>
      </c>
    </row>
    <row r="25" spans="1:9" x14ac:dyDescent="0.3">
      <c r="A25" s="1" t="s">
        <v>30</v>
      </c>
      <c r="B25" s="1" t="s">
        <v>50</v>
      </c>
      <c r="C25" s="1">
        <v>2024</v>
      </c>
      <c r="D25" s="1" t="s">
        <v>9</v>
      </c>
      <c r="E25" s="1" t="s">
        <v>53</v>
      </c>
      <c r="F25" s="1" t="s">
        <v>68</v>
      </c>
      <c r="G25" s="1">
        <v>11339.49</v>
      </c>
      <c r="H25" s="1">
        <v>-1923.6</v>
      </c>
      <c r="I25" s="1">
        <v>13</v>
      </c>
    </row>
    <row r="26" spans="1:9" x14ac:dyDescent="0.3">
      <c r="A26" s="1" t="s">
        <v>37</v>
      </c>
      <c r="B26" s="1" t="s">
        <v>48</v>
      </c>
      <c r="C26" s="1">
        <v>2024</v>
      </c>
      <c r="D26" s="1" t="s">
        <v>10</v>
      </c>
      <c r="E26" s="1" t="s">
        <v>58</v>
      </c>
      <c r="F26" s="1" t="s">
        <v>68</v>
      </c>
      <c r="G26" s="1">
        <v>37450.78</v>
      </c>
      <c r="H26" s="1">
        <v>-3224.49</v>
      </c>
      <c r="I26" s="1">
        <v>6</v>
      </c>
    </row>
    <row r="27" spans="1:9" x14ac:dyDescent="0.3">
      <c r="A27" s="1" t="s">
        <v>21</v>
      </c>
      <c r="B27" s="1" t="s">
        <v>46</v>
      </c>
      <c r="C27" s="1">
        <v>2024</v>
      </c>
      <c r="D27" s="1" t="s">
        <v>17</v>
      </c>
      <c r="E27" s="1" t="s">
        <v>53</v>
      </c>
      <c r="F27" s="1" t="s">
        <v>69</v>
      </c>
      <c r="G27" s="1">
        <v>27381.66</v>
      </c>
      <c r="H27" s="1">
        <v>-3996.92</v>
      </c>
      <c r="I27" s="1">
        <v>13</v>
      </c>
    </row>
    <row r="28" spans="1:9" x14ac:dyDescent="0.3">
      <c r="A28" s="1" t="s">
        <v>38</v>
      </c>
      <c r="B28" s="1" t="s">
        <v>49</v>
      </c>
      <c r="C28" s="1">
        <v>2024</v>
      </c>
      <c r="D28" s="1" t="s">
        <v>16</v>
      </c>
      <c r="E28" s="1" t="s">
        <v>56</v>
      </c>
      <c r="F28" s="1" t="s">
        <v>70</v>
      </c>
      <c r="G28" s="1">
        <v>20880.28</v>
      </c>
      <c r="H28" s="1">
        <v>-3542.88</v>
      </c>
      <c r="I28" s="1">
        <v>16</v>
      </c>
    </row>
    <row r="29" spans="1:9" x14ac:dyDescent="0.3">
      <c r="A29" s="1" t="s">
        <v>29</v>
      </c>
      <c r="B29" s="1" t="s">
        <v>47</v>
      </c>
      <c r="C29" s="1">
        <v>2024</v>
      </c>
      <c r="D29" s="1" t="s">
        <v>9</v>
      </c>
      <c r="E29" s="1" t="s">
        <v>54</v>
      </c>
      <c r="F29" s="1" t="s">
        <v>71</v>
      </c>
      <c r="G29" s="1">
        <v>24391.75</v>
      </c>
      <c r="H29" s="1">
        <v>8036.43</v>
      </c>
      <c r="I29" s="1">
        <v>12</v>
      </c>
    </row>
    <row r="30" spans="1:9" x14ac:dyDescent="0.3">
      <c r="A30" s="1" t="s">
        <v>22</v>
      </c>
      <c r="B30" s="1" t="s">
        <v>47</v>
      </c>
      <c r="C30" s="1">
        <v>2024</v>
      </c>
      <c r="D30" s="1" t="s">
        <v>11</v>
      </c>
      <c r="E30" s="1" t="s">
        <v>59</v>
      </c>
      <c r="F30" s="1" t="s">
        <v>66</v>
      </c>
      <c r="G30" s="1">
        <v>30662.67</v>
      </c>
      <c r="H30" s="1">
        <v>-2551.34</v>
      </c>
      <c r="I30" s="1">
        <v>18</v>
      </c>
    </row>
    <row r="31" spans="1:9" x14ac:dyDescent="0.3">
      <c r="A31" s="1" t="s">
        <v>39</v>
      </c>
      <c r="B31" s="1" t="s">
        <v>50</v>
      </c>
      <c r="C31" s="1">
        <v>2023</v>
      </c>
      <c r="D31" s="1" t="s">
        <v>19</v>
      </c>
      <c r="E31" s="1" t="s">
        <v>57</v>
      </c>
      <c r="F31" s="1" t="s">
        <v>67</v>
      </c>
      <c r="G31" s="1">
        <v>39398.19</v>
      </c>
      <c r="H31" s="1">
        <v>-1267.3399999999999</v>
      </c>
      <c r="I31" s="1">
        <v>20</v>
      </c>
    </row>
    <row r="32" spans="1:9" x14ac:dyDescent="0.3">
      <c r="A32" s="1" t="s">
        <v>40</v>
      </c>
      <c r="B32" s="1" t="s">
        <v>48</v>
      </c>
      <c r="C32" s="1">
        <v>2023</v>
      </c>
      <c r="D32" s="1" t="s">
        <v>17</v>
      </c>
      <c r="E32" s="1" t="s">
        <v>59</v>
      </c>
      <c r="F32" s="1" t="s">
        <v>68</v>
      </c>
      <c r="G32" s="1">
        <v>40770.379999999997</v>
      </c>
      <c r="H32" s="1">
        <v>140.71</v>
      </c>
      <c r="I32" s="1">
        <v>12</v>
      </c>
    </row>
    <row r="33" spans="1:9" x14ac:dyDescent="0.3">
      <c r="A33" s="1" t="s">
        <v>23</v>
      </c>
      <c r="B33" s="1" t="s">
        <v>48</v>
      </c>
      <c r="C33" s="1">
        <v>2023</v>
      </c>
      <c r="D33" s="1" t="s">
        <v>17</v>
      </c>
      <c r="E33" s="1" t="s">
        <v>57</v>
      </c>
      <c r="F33" s="1" t="s">
        <v>68</v>
      </c>
      <c r="G33" s="1">
        <v>27503.51</v>
      </c>
      <c r="H33" s="1">
        <v>-4753.1000000000004</v>
      </c>
      <c r="I33" s="1">
        <v>5</v>
      </c>
    </row>
    <row r="34" spans="1:9" x14ac:dyDescent="0.3">
      <c r="A34" s="1" t="s">
        <v>24</v>
      </c>
      <c r="B34" s="1" t="s">
        <v>49</v>
      </c>
      <c r="C34" s="1">
        <v>2023</v>
      </c>
      <c r="D34" s="1" t="s">
        <v>18</v>
      </c>
      <c r="E34" s="1" t="s">
        <v>53</v>
      </c>
      <c r="F34" s="1" t="s">
        <v>69</v>
      </c>
      <c r="G34" s="1">
        <v>32281.72</v>
      </c>
      <c r="H34" s="1">
        <v>3528.5</v>
      </c>
      <c r="I34" s="1">
        <v>11</v>
      </c>
    </row>
    <row r="35" spans="1:9" x14ac:dyDescent="0.3">
      <c r="A35" s="1" t="s">
        <v>33</v>
      </c>
      <c r="B35" s="1" t="s">
        <v>48</v>
      </c>
      <c r="C35" s="1">
        <v>2023</v>
      </c>
      <c r="D35" s="1" t="s">
        <v>15</v>
      </c>
      <c r="E35" s="1" t="s">
        <v>55</v>
      </c>
      <c r="F35" s="1" t="s">
        <v>70</v>
      </c>
      <c r="G35" s="1">
        <v>31717.61</v>
      </c>
      <c r="H35" s="1">
        <v>3310.97</v>
      </c>
      <c r="I35" s="1">
        <v>17</v>
      </c>
    </row>
    <row r="36" spans="1:9" x14ac:dyDescent="0.3">
      <c r="A36" s="1" t="s">
        <v>24</v>
      </c>
      <c r="B36" s="1" t="s">
        <v>49</v>
      </c>
      <c r="C36" s="1">
        <v>2024</v>
      </c>
      <c r="D36" s="1" t="s">
        <v>16</v>
      </c>
      <c r="E36" s="1" t="s">
        <v>60</v>
      </c>
      <c r="F36" s="1" t="s">
        <v>71</v>
      </c>
      <c r="G36" s="1">
        <v>41708.699999999997</v>
      </c>
      <c r="H36" s="1">
        <v>876.5</v>
      </c>
      <c r="I36" s="1">
        <v>4</v>
      </c>
    </row>
    <row r="37" spans="1:9" x14ac:dyDescent="0.3">
      <c r="A37" s="1" t="s">
        <v>41</v>
      </c>
      <c r="B37" s="1" t="s">
        <v>46</v>
      </c>
      <c r="C37" s="1">
        <v>2024</v>
      </c>
      <c r="D37" s="1" t="s">
        <v>10</v>
      </c>
      <c r="E37" s="1" t="s">
        <v>54</v>
      </c>
      <c r="F37" s="1" t="s">
        <v>72</v>
      </c>
      <c r="G37" s="1">
        <v>26356.560000000001</v>
      </c>
      <c r="H37" s="1">
        <v>10021.879999999999</v>
      </c>
      <c r="I37" s="1">
        <v>19</v>
      </c>
    </row>
    <row r="38" spans="1:9" x14ac:dyDescent="0.3">
      <c r="A38" s="1" t="s">
        <v>42</v>
      </c>
      <c r="B38" s="1" t="s">
        <v>50</v>
      </c>
      <c r="C38" s="1">
        <v>2023</v>
      </c>
      <c r="D38" s="1" t="s">
        <v>20</v>
      </c>
      <c r="E38" s="1" t="s">
        <v>53</v>
      </c>
      <c r="F38" s="1" t="s">
        <v>73</v>
      </c>
      <c r="G38" s="1">
        <v>28590.45</v>
      </c>
      <c r="H38" s="1">
        <v>6653.28</v>
      </c>
      <c r="I38" s="1">
        <v>13</v>
      </c>
    </row>
    <row r="39" spans="1:9" x14ac:dyDescent="0.3">
      <c r="A39" s="1" t="s">
        <v>40</v>
      </c>
      <c r="B39" s="1" t="s">
        <v>48</v>
      </c>
      <c r="C39" s="1">
        <v>2023</v>
      </c>
      <c r="D39" s="1" t="s">
        <v>16</v>
      </c>
      <c r="E39" s="1" t="s">
        <v>55</v>
      </c>
      <c r="F39" s="1" t="s">
        <v>74</v>
      </c>
      <c r="G39" s="1">
        <v>13585.29</v>
      </c>
      <c r="H39" s="1">
        <v>877.92</v>
      </c>
      <c r="I39" s="1">
        <v>14</v>
      </c>
    </row>
    <row r="40" spans="1:9" x14ac:dyDescent="0.3">
      <c r="A40" s="1" t="s">
        <v>38</v>
      </c>
      <c r="B40" s="1" t="s">
        <v>49</v>
      </c>
      <c r="C40" s="1">
        <v>2023</v>
      </c>
      <c r="D40" s="1" t="s">
        <v>16</v>
      </c>
      <c r="E40" s="1" t="s">
        <v>59</v>
      </c>
      <c r="F40" s="1" t="s">
        <v>75</v>
      </c>
      <c r="G40" s="1">
        <v>39873.75</v>
      </c>
      <c r="H40" s="1">
        <v>14048.02</v>
      </c>
      <c r="I40" s="1">
        <v>2</v>
      </c>
    </row>
    <row r="41" spans="1:9" x14ac:dyDescent="0.3">
      <c r="A41" s="1" t="s">
        <v>36</v>
      </c>
      <c r="B41" s="1" t="s">
        <v>46</v>
      </c>
      <c r="C41" s="1">
        <v>2023</v>
      </c>
      <c r="D41" s="1" t="s">
        <v>17</v>
      </c>
      <c r="E41" s="1" t="s">
        <v>57</v>
      </c>
      <c r="F41" s="1" t="s">
        <v>75</v>
      </c>
      <c r="G41" s="1">
        <v>49915.53</v>
      </c>
      <c r="H41" s="1">
        <v>4343.78</v>
      </c>
      <c r="I41" s="1">
        <v>13</v>
      </c>
    </row>
    <row r="42" spans="1:9" x14ac:dyDescent="0.3">
      <c r="A42" s="1" t="s">
        <v>33</v>
      </c>
      <c r="B42" s="1" t="s">
        <v>48</v>
      </c>
      <c r="C42" s="1">
        <v>2023</v>
      </c>
      <c r="D42" s="1" t="s">
        <v>15</v>
      </c>
      <c r="E42" s="1" t="s">
        <v>57</v>
      </c>
      <c r="F42" s="1" t="s">
        <v>76</v>
      </c>
      <c r="G42" s="1">
        <v>29582.29</v>
      </c>
      <c r="H42" s="1">
        <v>6079.79</v>
      </c>
      <c r="I42" s="1">
        <v>9</v>
      </c>
    </row>
    <row r="43" spans="1:9" x14ac:dyDescent="0.3">
      <c r="A43" s="1" t="s">
        <v>37</v>
      </c>
      <c r="B43" s="1" t="s">
        <v>48</v>
      </c>
      <c r="C43" s="1">
        <v>2024</v>
      </c>
      <c r="D43" s="1" t="s">
        <v>17</v>
      </c>
      <c r="E43" s="1" t="s">
        <v>60</v>
      </c>
      <c r="F43" s="1" t="s">
        <v>77</v>
      </c>
      <c r="G43" s="1">
        <v>18432.46</v>
      </c>
      <c r="H43" s="1">
        <v>6725.84</v>
      </c>
      <c r="I43" s="1">
        <v>10</v>
      </c>
    </row>
    <row r="44" spans="1:9" x14ac:dyDescent="0.3">
      <c r="A44" s="1" t="s">
        <v>33</v>
      </c>
      <c r="B44" s="1" t="s">
        <v>48</v>
      </c>
      <c r="C44" s="1">
        <v>2023</v>
      </c>
      <c r="D44" s="1" t="s">
        <v>19</v>
      </c>
      <c r="E44" s="1" t="s">
        <v>58</v>
      </c>
      <c r="F44" s="1" t="s">
        <v>66</v>
      </c>
      <c r="G44" s="1">
        <v>20696.14</v>
      </c>
      <c r="H44" s="1">
        <v>7455.17</v>
      </c>
      <c r="I44" s="1">
        <v>9</v>
      </c>
    </row>
    <row r="45" spans="1:9" x14ac:dyDescent="0.3">
      <c r="A45" s="1" t="s">
        <v>42</v>
      </c>
      <c r="B45" s="1" t="s">
        <v>50</v>
      </c>
      <c r="C45" s="1">
        <v>2023</v>
      </c>
      <c r="D45" s="1" t="s">
        <v>19</v>
      </c>
      <c r="E45" s="1" t="s">
        <v>57</v>
      </c>
      <c r="F45" s="1" t="s">
        <v>67</v>
      </c>
      <c r="G45" s="1">
        <v>45309.22</v>
      </c>
      <c r="H45" s="1">
        <v>1663.73</v>
      </c>
      <c r="I45" s="1">
        <v>12</v>
      </c>
    </row>
    <row r="46" spans="1:9" x14ac:dyDescent="0.3">
      <c r="A46" s="1" t="s">
        <v>22</v>
      </c>
      <c r="B46" s="1" t="s">
        <v>47</v>
      </c>
      <c r="C46" s="1">
        <v>2023</v>
      </c>
      <c r="D46" s="1" t="s">
        <v>17</v>
      </c>
      <c r="E46" s="1" t="s">
        <v>60</v>
      </c>
      <c r="F46" s="1" t="s">
        <v>68</v>
      </c>
      <c r="G46" s="1">
        <v>20586.36</v>
      </c>
      <c r="H46" s="1">
        <v>1346.88</v>
      </c>
      <c r="I46" s="1">
        <v>9</v>
      </c>
    </row>
    <row r="47" spans="1:9" x14ac:dyDescent="0.3">
      <c r="A47" s="1" t="s">
        <v>37</v>
      </c>
      <c r="B47" s="1" t="s">
        <v>48</v>
      </c>
      <c r="C47" s="1">
        <v>2024</v>
      </c>
      <c r="D47" s="1" t="s">
        <v>17</v>
      </c>
      <c r="E47" s="1" t="s">
        <v>57</v>
      </c>
      <c r="F47" s="1" t="s">
        <v>68</v>
      </c>
      <c r="G47" s="1">
        <v>46986.080000000002</v>
      </c>
      <c r="H47" s="1">
        <v>10229</v>
      </c>
      <c r="I47" s="1">
        <v>5</v>
      </c>
    </row>
    <row r="48" spans="1:9" x14ac:dyDescent="0.3">
      <c r="A48" s="1" t="s">
        <v>43</v>
      </c>
      <c r="B48" s="1" t="s">
        <v>46</v>
      </c>
      <c r="C48" s="1">
        <v>2023</v>
      </c>
      <c r="D48" s="1" t="s">
        <v>9</v>
      </c>
      <c r="E48" s="1" t="s">
        <v>56</v>
      </c>
      <c r="F48" s="1" t="s">
        <v>69</v>
      </c>
      <c r="G48" s="1">
        <v>7284.44</v>
      </c>
      <c r="H48" s="1">
        <v>2499.37</v>
      </c>
      <c r="I48" s="1">
        <v>8</v>
      </c>
    </row>
    <row r="49" spans="1:9" x14ac:dyDescent="0.3">
      <c r="A49" s="1" t="s">
        <v>26</v>
      </c>
      <c r="B49" s="1" t="s">
        <v>50</v>
      </c>
      <c r="C49" s="1">
        <v>2023</v>
      </c>
      <c r="D49" s="1" t="s">
        <v>20</v>
      </c>
      <c r="E49" s="1" t="s">
        <v>59</v>
      </c>
      <c r="F49" s="1" t="s">
        <v>70</v>
      </c>
      <c r="G49" s="1">
        <v>37281.11</v>
      </c>
      <c r="H49" s="1">
        <v>-5207.17</v>
      </c>
      <c r="I49" s="1">
        <v>5</v>
      </c>
    </row>
    <row r="50" spans="1:9" x14ac:dyDescent="0.3">
      <c r="A50" s="1" t="s">
        <v>36</v>
      </c>
      <c r="B50" s="1" t="s">
        <v>46</v>
      </c>
      <c r="C50" s="1">
        <v>2023</v>
      </c>
      <c r="D50" s="1" t="s">
        <v>12</v>
      </c>
      <c r="E50" s="1" t="s">
        <v>59</v>
      </c>
      <c r="F50" s="1" t="s">
        <v>71</v>
      </c>
      <c r="G50" s="1">
        <v>26485.18</v>
      </c>
      <c r="H50" s="1">
        <v>-2127.46</v>
      </c>
      <c r="I50" s="1">
        <v>10</v>
      </c>
    </row>
    <row r="51" spans="1:9" x14ac:dyDescent="0.3">
      <c r="A51" s="1" t="s">
        <v>22</v>
      </c>
      <c r="B51" s="1" t="s">
        <v>47</v>
      </c>
      <c r="C51" s="1">
        <v>2023</v>
      </c>
      <c r="D51" s="1" t="s">
        <v>15</v>
      </c>
      <c r="E51" s="1" t="s">
        <v>52</v>
      </c>
      <c r="F51" s="1" t="s">
        <v>66</v>
      </c>
      <c r="G51" s="1">
        <v>15449.91</v>
      </c>
      <c r="H51" s="1">
        <v>3757.6</v>
      </c>
      <c r="I51" s="1">
        <v>2</v>
      </c>
    </row>
    <row r="52" spans="1:9" x14ac:dyDescent="0.3">
      <c r="A52" s="1" t="s">
        <v>38</v>
      </c>
      <c r="B52" s="1" t="s">
        <v>49</v>
      </c>
      <c r="C52" s="1">
        <v>2023</v>
      </c>
      <c r="D52" s="1" t="s">
        <v>16</v>
      </c>
      <c r="E52" s="1" t="s">
        <v>54</v>
      </c>
      <c r="F52" s="1" t="s">
        <v>67</v>
      </c>
      <c r="G52" s="1">
        <v>40458.230000000003</v>
      </c>
      <c r="H52" s="1">
        <v>-3568.94</v>
      </c>
      <c r="I52" s="1">
        <v>10</v>
      </c>
    </row>
    <row r="53" spans="1:9" x14ac:dyDescent="0.3">
      <c r="A53" s="1" t="s">
        <v>30</v>
      </c>
      <c r="B53" s="1" t="s">
        <v>50</v>
      </c>
      <c r="C53" s="1">
        <v>2023</v>
      </c>
      <c r="D53" s="1" t="s">
        <v>11</v>
      </c>
      <c r="E53" s="1" t="s">
        <v>55</v>
      </c>
      <c r="F53" s="1" t="s">
        <v>68</v>
      </c>
      <c r="G53" s="1">
        <v>9828.5300000000007</v>
      </c>
      <c r="H53" s="1">
        <v>3831.12</v>
      </c>
      <c r="I53" s="1">
        <v>10</v>
      </c>
    </row>
    <row r="54" spans="1:9" x14ac:dyDescent="0.3">
      <c r="A54" s="1" t="s">
        <v>43</v>
      </c>
      <c r="B54" s="1" t="s">
        <v>46</v>
      </c>
      <c r="C54" s="1">
        <v>2024</v>
      </c>
      <c r="D54" s="1" t="s">
        <v>9</v>
      </c>
      <c r="E54" s="1" t="s">
        <v>53</v>
      </c>
      <c r="F54" s="1" t="s">
        <v>68</v>
      </c>
      <c r="G54" s="1">
        <v>43297.69</v>
      </c>
      <c r="H54" s="1">
        <v>3498.99</v>
      </c>
      <c r="I54" s="1">
        <v>7</v>
      </c>
    </row>
    <row r="55" spans="1:9" x14ac:dyDescent="0.3">
      <c r="A55" s="1" t="s">
        <v>35</v>
      </c>
      <c r="B55" s="1" t="s">
        <v>47</v>
      </c>
      <c r="C55" s="1">
        <v>2023</v>
      </c>
      <c r="D55" s="1" t="s">
        <v>9</v>
      </c>
      <c r="E55" s="1" t="s">
        <v>53</v>
      </c>
      <c r="F55" s="1" t="s">
        <v>69</v>
      </c>
      <c r="G55" s="1">
        <v>37336.92</v>
      </c>
      <c r="H55" s="1">
        <v>-7151.87</v>
      </c>
      <c r="I55" s="1">
        <v>11</v>
      </c>
    </row>
    <row r="56" spans="1:9" x14ac:dyDescent="0.3">
      <c r="A56" s="1" t="s">
        <v>36</v>
      </c>
      <c r="B56" s="1" t="s">
        <v>46</v>
      </c>
      <c r="C56" s="1">
        <v>2023</v>
      </c>
      <c r="D56" s="1" t="s">
        <v>19</v>
      </c>
      <c r="E56" s="1" t="s">
        <v>51</v>
      </c>
      <c r="F56" s="1" t="s">
        <v>70</v>
      </c>
      <c r="G56" s="1">
        <v>43526.59</v>
      </c>
      <c r="H56" s="1">
        <v>14721.81</v>
      </c>
      <c r="I56" s="1">
        <v>14</v>
      </c>
    </row>
    <row r="57" spans="1:9" x14ac:dyDescent="0.3">
      <c r="A57" s="1" t="s">
        <v>22</v>
      </c>
      <c r="B57" s="1" t="s">
        <v>47</v>
      </c>
      <c r="C57" s="1">
        <v>2024</v>
      </c>
      <c r="D57" s="1" t="s">
        <v>16</v>
      </c>
      <c r="E57" s="1" t="s">
        <v>59</v>
      </c>
      <c r="F57" s="1" t="s">
        <v>71</v>
      </c>
      <c r="G57" s="1">
        <v>13315.15</v>
      </c>
      <c r="H57" s="1">
        <v>-1539.67</v>
      </c>
      <c r="I57" s="1">
        <v>11</v>
      </c>
    </row>
    <row r="58" spans="1:9" x14ac:dyDescent="0.3">
      <c r="A58" s="1" t="s">
        <v>30</v>
      </c>
      <c r="B58" s="1" t="s">
        <v>50</v>
      </c>
      <c r="C58" s="1">
        <v>2023</v>
      </c>
      <c r="D58" s="1" t="s">
        <v>13</v>
      </c>
      <c r="E58" s="1" t="s">
        <v>59</v>
      </c>
      <c r="F58" s="1" t="s">
        <v>72</v>
      </c>
      <c r="G58" s="1">
        <v>25103.1</v>
      </c>
      <c r="H58" s="1">
        <v>-999.19</v>
      </c>
      <c r="I58" s="1">
        <v>11</v>
      </c>
    </row>
    <row r="59" spans="1:9" x14ac:dyDescent="0.3">
      <c r="A59" s="1" t="s">
        <v>43</v>
      </c>
      <c r="B59" s="1" t="s">
        <v>46</v>
      </c>
      <c r="C59" s="1">
        <v>2023</v>
      </c>
      <c r="D59" s="1" t="s">
        <v>15</v>
      </c>
      <c r="E59" s="1" t="s">
        <v>54</v>
      </c>
      <c r="F59" s="1" t="s">
        <v>73</v>
      </c>
      <c r="G59" s="1">
        <v>34415.75</v>
      </c>
      <c r="H59" s="1">
        <v>7422.14</v>
      </c>
      <c r="I59" s="1">
        <v>2</v>
      </c>
    </row>
    <row r="60" spans="1:9" x14ac:dyDescent="0.3">
      <c r="A60" s="1" t="s">
        <v>44</v>
      </c>
      <c r="B60" s="1" t="s">
        <v>49</v>
      </c>
      <c r="C60" s="1">
        <v>2023</v>
      </c>
      <c r="D60" s="1" t="s">
        <v>17</v>
      </c>
      <c r="E60" s="1" t="s">
        <v>51</v>
      </c>
      <c r="F60" s="1" t="s">
        <v>74</v>
      </c>
      <c r="G60" s="1">
        <v>35873.31</v>
      </c>
      <c r="H60" s="1">
        <v>12694.26</v>
      </c>
      <c r="I60" s="1">
        <v>10</v>
      </c>
    </row>
    <row r="61" spans="1:9" x14ac:dyDescent="0.3">
      <c r="A61" s="1" t="s">
        <v>45</v>
      </c>
      <c r="B61" s="1" t="s">
        <v>47</v>
      </c>
      <c r="C61" s="1">
        <v>2023</v>
      </c>
      <c r="D61" s="1" t="s">
        <v>17</v>
      </c>
      <c r="E61" s="1" t="s">
        <v>55</v>
      </c>
      <c r="F61" s="1" t="s">
        <v>75</v>
      </c>
      <c r="G61" s="1">
        <v>14860.79</v>
      </c>
      <c r="H61" s="1">
        <v>-1781.2</v>
      </c>
      <c r="I61" s="1">
        <v>5</v>
      </c>
    </row>
    <row r="62" spans="1:9" x14ac:dyDescent="0.3">
      <c r="A62" s="1" t="s">
        <v>41</v>
      </c>
      <c r="B62" s="1" t="s">
        <v>46</v>
      </c>
      <c r="C62" s="1">
        <v>2024</v>
      </c>
      <c r="D62" s="1" t="s">
        <v>9</v>
      </c>
      <c r="E62" s="1" t="s">
        <v>59</v>
      </c>
      <c r="F62" s="1" t="s">
        <v>75</v>
      </c>
      <c r="G62" s="1">
        <v>46075.86</v>
      </c>
      <c r="H62" s="1">
        <v>11722.17</v>
      </c>
      <c r="I62" s="1">
        <v>7</v>
      </c>
    </row>
    <row r="63" spans="1:9" x14ac:dyDescent="0.3">
      <c r="A63" s="1" t="s">
        <v>31</v>
      </c>
      <c r="B63" s="1" t="s">
        <v>46</v>
      </c>
      <c r="C63" s="1">
        <v>2023</v>
      </c>
      <c r="D63" s="1" t="s">
        <v>13</v>
      </c>
      <c r="E63" s="1" t="s">
        <v>57</v>
      </c>
      <c r="F63" s="1" t="s">
        <v>76</v>
      </c>
      <c r="G63" s="1">
        <v>28767.79</v>
      </c>
      <c r="H63" s="1">
        <v>491.09</v>
      </c>
      <c r="I63" s="1">
        <v>19</v>
      </c>
    </row>
    <row r="64" spans="1:9" x14ac:dyDescent="0.3">
      <c r="A64" s="1" t="s">
        <v>42</v>
      </c>
      <c r="B64" s="1" t="s">
        <v>50</v>
      </c>
      <c r="C64" s="1">
        <v>2023</v>
      </c>
      <c r="D64" s="1" t="s">
        <v>9</v>
      </c>
      <c r="E64" s="1" t="s">
        <v>57</v>
      </c>
      <c r="F64" s="1" t="s">
        <v>77</v>
      </c>
      <c r="G64" s="1">
        <v>30771.58</v>
      </c>
      <c r="H64" s="1">
        <v>-3387.6</v>
      </c>
      <c r="I64" s="1">
        <v>11</v>
      </c>
    </row>
    <row r="65" spans="1:9" x14ac:dyDescent="0.3">
      <c r="A65" s="1" t="s">
        <v>25</v>
      </c>
      <c r="B65" s="1" t="s">
        <v>49</v>
      </c>
      <c r="C65" s="1">
        <v>2024</v>
      </c>
      <c r="D65" s="1" t="s">
        <v>16</v>
      </c>
      <c r="E65" s="1" t="s">
        <v>56</v>
      </c>
      <c r="F65" s="1" t="s">
        <v>66</v>
      </c>
      <c r="G65" s="1">
        <v>26997.26</v>
      </c>
      <c r="H65" s="1">
        <v>9161.08</v>
      </c>
      <c r="I65" s="1">
        <v>15</v>
      </c>
    </row>
    <row r="66" spans="1:9" x14ac:dyDescent="0.3">
      <c r="A66" s="1" t="s">
        <v>38</v>
      </c>
      <c r="B66" s="1" t="s">
        <v>49</v>
      </c>
      <c r="C66" s="1">
        <v>2023</v>
      </c>
      <c r="D66" s="1" t="s">
        <v>11</v>
      </c>
      <c r="E66" s="1" t="s">
        <v>57</v>
      </c>
      <c r="F66" s="1" t="s">
        <v>67</v>
      </c>
      <c r="G66" s="1">
        <v>25555.93</v>
      </c>
      <c r="H66" s="1">
        <v>-4225.88</v>
      </c>
      <c r="I66" s="1">
        <v>15</v>
      </c>
    </row>
    <row r="67" spans="1:9" x14ac:dyDescent="0.3">
      <c r="A67" s="1" t="s">
        <v>39</v>
      </c>
      <c r="B67" s="1" t="s">
        <v>50</v>
      </c>
      <c r="C67" s="1">
        <v>2023</v>
      </c>
      <c r="D67" s="1" t="s">
        <v>15</v>
      </c>
      <c r="E67" s="1" t="s">
        <v>60</v>
      </c>
      <c r="F67" s="1" t="s">
        <v>68</v>
      </c>
      <c r="G67" s="1">
        <v>38561.199999999997</v>
      </c>
      <c r="H67" s="1">
        <v>5667.99</v>
      </c>
      <c r="I67" s="1">
        <v>2</v>
      </c>
    </row>
    <row r="68" spans="1:9" x14ac:dyDescent="0.3">
      <c r="A68" s="1" t="s">
        <v>22</v>
      </c>
      <c r="B68" s="1" t="s">
        <v>47</v>
      </c>
      <c r="C68" s="1">
        <v>2024</v>
      </c>
      <c r="D68" s="1" t="s">
        <v>10</v>
      </c>
      <c r="E68" s="1" t="s">
        <v>57</v>
      </c>
      <c r="F68" s="1" t="s">
        <v>68</v>
      </c>
      <c r="G68" s="1">
        <v>47056.23</v>
      </c>
      <c r="H68" s="1">
        <v>-7462.58</v>
      </c>
      <c r="I68" s="1">
        <v>16</v>
      </c>
    </row>
    <row r="69" spans="1:9" x14ac:dyDescent="0.3">
      <c r="A69" s="1" t="s">
        <v>27</v>
      </c>
      <c r="B69" s="1" t="s">
        <v>47</v>
      </c>
      <c r="C69" s="1">
        <v>2023</v>
      </c>
      <c r="D69" s="1" t="s">
        <v>11</v>
      </c>
      <c r="E69" s="1" t="s">
        <v>51</v>
      </c>
      <c r="F69" s="1" t="s">
        <v>69</v>
      </c>
      <c r="G69" s="1">
        <v>39462.25</v>
      </c>
      <c r="H69" s="1">
        <v>15271.89</v>
      </c>
      <c r="I69" s="1">
        <v>14</v>
      </c>
    </row>
    <row r="70" spans="1:9" x14ac:dyDescent="0.3">
      <c r="A70" s="1" t="s">
        <v>32</v>
      </c>
      <c r="B70" s="1" t="s">
        <v>49</v>
      </c>
      <c r="C70" s="1">
        <v>2024</v>
      </c>
      <c r="D70" s="1" t="s">
        <v>12</v>
      </c>
      <c r="E70" s="1" t="s">
        <v>59</v>
      </c>
      <c r="F70" s="1" t="s">
        <v>70</v>
      </c>
      <c r="G70" s="1">
        <v>8611.25</v>
      </c>
      <c r="H70" s="1">
        <v>3259.24</v>
      </c>
      <c r="I70" s="1">
        <v>18</v>
      </c>
    </row>
    <row r="71" spans="1:9" x14ac:dyDescent="0.3">
      <c r="A71" s="1" t="s">
        <v>22</v>
      </c>
      <c r="B71" s="1" t="s">
        <v>47</v>
      </c>
      <c r="C71" s="1">
        <v>2023</v>
      </c>
      <c r="D71" s="1" t="s">
        <v>17</v>
      </c>
      <c r="E71" s="1" t="s">
        <v>51</v>
      </c>
      <c r="F71" s="1" t="s">
        <v>71</v>
      </c>
      <c r="G71" s="1">
        <v>22687.64</v>
      </c>
      <c r="H71" s="1">
        <v>-2804.01</v>
      </c>
      <c r="I71" s="1">
        <v>8</v>
      </c>
    </row>
    <row r="72" spans="1:9" x14ac:dyDescent="0.3">
      <c r="A72" s="1" t="s">
        <v>30</v>
      </c>
      <c r="B72" s="1" t="s">
        <v>50</v>
      </c>
      <c r="C72" s="1">
        <v>2023</v>
      </c>
      <c r="D72" s="1" t="s">
        <v>12</v>
      </c>
      <c r="E72" s="1" t="s">
        <v>53</v>
      </c>
      <c r="F72" s="1" t="s">
        <v>66</v>
      </c>
      <c r="G72" s="1">
        <v>24085.759999999998</v>
      </c>
      <c r="H72" s="1">
        <v>663.95</v>
      </c>
      <c r="I72" s="1">
        <v>8</v>
      </c>
    </row>
    <row r="73" spans="1:9" x14ac:dyDescent="0.3">
      <c r="A73" s="1" t="s">
        <v>44</v>
      </c>
      <c r="B73" s="1" t="s">
        <v>49</v>
      </c>
      <c r="C73" s="1">
        <v>2023</v>
      </c>
      <c r="D73" s="1" t="s">
        <v>13</v>
      </c>
      <c r="E73" s="1" t="s">
        <v>51</v>
      </c>
      <c r="F73" s="1" t="s">
        <v>67</v>
      </c>
      <c r="G73" s="1">
        <v>13481.62</v>
      </c>
      <c r="H73" s="1">
        <v>4383.21</v>
      </c>
      <c r="I73" s="1">
        <v>4</v>
      </c>
    </row>
    <row r="74" spans="1:9" x14ac:dyDescent="0.3">
      <c r="A74" s="1" t="s">
        <v>24</v>
      </c>
      <c r="B74" s="1" t="s">
        <v>49</v>
      </c>
      <c r="C74" s="1">
        <v>2023</v>
      </c>
      <c r="D74" s="1" t="s">
        <v>11</v>
      </c>
      <c r="E74" s="1" t="s">
        <v>54</v>
      </c>
      <c r="F74" s="1" t="s">
        <v>68</v>
      </c>
      <c r="G74" s="1">
        <v>14273.67</v>
      </c>
      <c r="H74" s="1">
        <v>-1990.63</v>
      </c>
      <c r="I74" s="1">
        <v>2</v>
      </c>
    </row>
    <row r="75" spans="1:9" x14ac:dyDescent="0.3">
      <c r="A75" s="1" t="s">
        <v>31</v>
      </c>
      <c r="B75" s="1" t="s">
        <v>46</v>
      </c>
      <c r="C75" s="1">
        <v>2024</v>
      </c>
      <c r="D75" s="1" t="s">
        <v>9</v>
      </c>
      <c r="E75" s="1" t="s">
        <v>56</v>
      </c>
      <c r="F75" s="1" t="s">
        <v>68</v>
      </c>
      <c r="G75" s="1">
        <v>23101.94</v>
      </c>
      <c r="H75" s="1">
        <v>-1372.17</v>
      </c>
      <c r="I75" s="1">
        <v>7</v>
      </c>
    </row>
    <row r="76" spans="1:9" x14ac:dyDescent="0.3">
      <c r="A76" s="1" t="s">
        <v>23</v>
      </c>
      <c r="B76" s="1" t="s">
        <v>48</v>
      </c>
      <c r="C76" s="1">
        <v>2023</v>
      </c>
      <c r="D76" s="1" t="s">
        <v>11</v>
      </c>
      <c r="E76" s="1" t="s">
        <v>60</v>
      </c>
      <c r="F76" s="1" t="s">
        <v>69</v>
      </c>
      <c r="G76" s="1">
        <v>41710.379999999997</v>
      </c>
      <c r="H76" s="1">
        <v>9965.0499999999993</v>
      </c>
      <c r="I76" s="1">
        <v>11</v>
      </c>
    </row>
    <row r="77" spans="1:9" x14ac:dyDescent="0.3">
      <c r="A77" s="1" t="s">
        <v>34</v>
      </c>
      <c r="B77" s="1" t="s">
        <v>48</v>
      </c>
      <c r="C77" s="1">
        <v>2023</v>
      </c>
      <c r="D77" s="1" t="s">
        <v>15</v>
      </c>
      <c r="E77" s="1" t="s">
        <v>51</v>
      </c>
      <c r="F77" s="1" t="s">
        <v>70</v>
      </c>
      <c r="G77" s="1">
        <v>14946.92</v>
      </c>
      <c r="H77" s="1">
        <v>-294.45</v>
      </c>
      <c r="I77" s="1">
        <v>2</v>
      </c>
    </row>
    <row r="78" spans="1:9" x14ac:dyDescent="0.3">
      <c r="A78" s="1" t="s">
        <v>36</v>
      </c>
      <c r="B78" s="1" t="s">
        <v>46</v>
      </c>
      <c r="C78" s="1">
        <v>2024</v>
      </c>
      <c r="D78" s="1" t="s">
        <v>14</v>
      </c>
      <c r="E78" s="1" t="s">
        <v>59</v>
      </c>
      <c r="F78" s="1" t="s">
        <v>71</v>
      </c>
      <c r="G78" s="1">
        <v>27302.94</v>
      </c>
      <c r="H78" s="1">
        <v>10467.24</v>
      </c>
      <c r="I78" s="1">
        <v>13</v>
      </c>
    </row>
    <row r="79" spans="1:9" x14ac:dyDescent="0.3">
      <c r="A79" s="1" t="s">
        <v>27</v>
      </c>
      <c r="B79" s="1" t="s">
        <v>47</v>
      </c>
      <c r="C79" s="1">
        <v>2024</v>
      </c>
      <c r="D79" s="1" t="s">
        <v>16</v>
      </c>
      <c r="E79" s="1" t="s">
        <v>59</v>
      </c>
      <c r="F79" s="1" t="s">
        <v>72</v>
      </c>
      <c r="G79" s="1">
        <v>18494.98</v>
      </c>
      <c r="H79" s="1">
        <v>-1658.49</v>
      </c>
      <c r="I79" s="1">
        <v>18</v>
      </c>
    </row>
    <row r="80" spans="1:9" x14ac:dyDescent="0.3">
      <c r="A80" s="1" t="s">
        <v>37</v>
      </c>
      <c r="B80" s="1" t="s">
        <v>48</v>
      </c>
      <c r="C80" s="1">
        <v>2024</v>
      </c>
      <c r="D80" s="1" t="s">
        <v>9</v>
      </c>
      <c r="E80" s="1" t="s">
        <v>60</v>
      </c>
      <c r="F80" s="1" t="s">
        <v>73</v>
      </c>
      <c r="G80" s="1">
        <v>41259.93</v>
      </c>
      <c r="H80" s="1">
        <v>14393.31</v>
      </c>
      <c r="I80" s="1">
        <v>18</v>
      </c>
    </row>
    <row r="81" spans="1:9" x14ac:dyDescent="0.3">
      <c r="A81" s="1" t="s">
        <v>24</v>
      </c>
      <c r="B81" s="1" t="s">
        <v>49</v>
      </c>
      <c r="C81" s="1">
        <v>2024</v>
      </c>
      <c r="D81" s="1" t="s">
        <v>11</v>
      </c>
      <c r="E81" s="1" t="s">
        <v>57</v>
      </c>
      <c r="F81" s="1" t="s">
        <v>74</v>
      </c>
      <c r="G81" s="1">
        <v>22478.86</v>
      </c>
      <c r="H81" s="1">
        <v>-1056.57</v>
      </c>
      <c r="I81" s="1">
        <v>11</v>
      </c>
    </row>
    <row r="82" spans="1:9" x14ac:dyDescent="0.3">
      <c r="A82" s="1" t="s">
        <v>44</v>
      </c>
      <c r="B82" s="1" t="s">
        <v>49</v>
      </c>
      <c r="C82" s="1">
        <v>2023</v>
      </c>
      <c r="D82" s="1" t="s">
        <v>10</v>
      </c>
      <c r="E82" s="1" t="s">
        <v>52</v>
      </c>
      <c r="F82" s="1" t="s">
        <v>75</v>
      </c>
      <c r="G82" s="1">
        <v>37606.31</v>
      </c>
      <c r="H82" s="1">
        <v>-3223.28</v>
      </c>
      <c r="I82" s="1">
        <v>9</v>
      </c>
    </row>
    <row r="83" spans="1:9" x14ac:dyDescent="0.3">
      <c r="A83" s="1" t="s">
        <v>43</v>
      </c>
      <c r="B83" s="1" t="s">
        <v>46</v>
      </c>
      <c r="C83" s="1">
        <v>2024</v>
      </c>
      <c r="D83" s="1" t="s">
        <v>12</v>
      </c>
      <c r="E83" s="1" t="s">
        <v>54</v>
      </c>
      <c r="F83" s="1" t="s">
        <v>75</v>
      </c>
      <c r="G83" s="1">
        <v>13467.35</v>
      </c>
      <c r="H83" s="1">
        <v>3461.35</v>
      </c>
      <c r="I83" s="1">
        <v>18</v>
      </c>
    </row>
    <row r="84" spans="1:9" x14ac:dyDescent="0.3">
      <c r="A84" s="1" t="s">
        <v>38</v>
      </c>
      <c r="B84" s="1" t="s">
        <v>49</v>
      </c>
      <c r="C84" s="1">
        <v>2023</v>
      </c>
      <c r="D84" s="1" t="s">
        <v>20</v>
      </c>
      <c r="E84" s="1" t="s">
        <v>58</v>
      </c>
      <c r="F84" s="1" t="s">
        <v>76</v>
      </c>
      <c r="G84" s="1">
        <v>48065.89</v>
      </c>
      <c r="H84" s="1">
        <v>-9170.9599999999991</v>
      </c>
      <c r="I84" s="1">
        <v>7</v>
      </c>
    </row>
    <row r="85" spans="1:9" x14ac:dyDescent="0.3">
      <c r="A85" s="1" t="s">
        <v>38</v>
      </c>
      <c r="B85" s="1" t="s">
        <v>49</v>
      </c>
      <c r="C85" s="1">
        <v>2023</v>
      </c>
      <c r="D85" s="1" t="s">
        <v>17</v>
      </c>
      <c r="E85" s="1" t="s">
        <v>55</v>
      </c>
      <c r="F85" s="1" t="s">
        <v>77</v>
      </c>
      <c r="G85" s="1">
        <v>22848.44</v>
      </c>
      <c r="H85" s="1">
        <v>-1288.68</v>
      </c>
      <c r="I85" s="1">
        <v>11</v>
      </c>
    </row>
    <row r="86" spans="1:9" x14ac:dyDescent="0.3">
      <c r="A86" s="1" t="s">
        <v>32</v>
      </c>
      <c r="B86" s="1" t="s">
        <v>49</v>
      </c>
      <c r="C86" s="1">
        <v>2023</v>
      </c>
      <c r="D86" s="1" t="s">
        <v>19</v>
      </c>
      <c r="E86" s="1" t="s">
        <v>57</v>
      </c>
      <c r="F86" s="1" t="s">
        <v>73</v>
      </c>
      <c r="G86" s="1">
        <v>18879</v>
      </c>
      <c r="H86" s="1">
        <v>298.04000000000002</v>
      </c>
      <c r="I86" s="1">
        <v>16</v>
      </c>
    </row>
    <row r="87" spans="1:9" x14ac:dyDescent="0.3">
      <c r="A87" s="1" t="s">
        <v>39</v>
      </c>
      <c r="B87" s="1" t="s">
        <v>50</v>
      </c>
      <c r="C87" s="1">
        <v>2024</v>
      </c>
      <c r="D87" s="1" t="s">
        <v>9</v>
      </c>
      <c r="E87" s="1" t="s">
        <v>58</v>
      </c>
      <c r="F87" s="1" t="s">
        <v>74</v>
      </c>
      <c r="G87" s="1">
        <v>21681.72</v>
      </c>
      <c r="H87" s="1">
        <v>1048.49</v>
      </c>
      <c r="I87" s="1">
        <v>19</v>
      </c>
    </row>
    <row r="88" spans="1:9" x14ac:dyDescent="0.3">
      <c r="A88" s="1" t="s">
        <v>40</v>
      </c>
      <c r="B88" s="1" t="s">
        <v>48</v>
      </c>
      <c r="C88" s="1">
        <v>2023</v>
      </c>
      <c r="D88" s="1" t="s">
        <v>20</v>
      </c>
      <c r="E88" s="1" t="s">
        <v>60</v>
      </c>
      <c r="F88" s="1" t="s">
        <v>75</v>
      </c>
      <c r="G88" s="1">
        <v>47064.12</v>
      </c>
      <c r="H88" s="1">
        <v>6941.29</v>
      </c>
      <c r="I88" s="1">
        <v>14</v>
      </c>
    </row>
    <row r="89" spans="1:9" x14ac:dyDescent="0.3">
      <c r="A89" s="1" t="s">
        <v>37</v>
      </c>
      <c r="B89" s="1" t="s">
        <v>48</v>
      </c>
      <c r="C89" s="1">
        <v>2023</v>
      </c>
      <c r="D89" s="1" t="s">
        <v>19</v>
      </c>
      <c r="E89" s="1" t="s">
        <v>58</v>
      </c>
      <c r="F89" s="1" t="s">
        <v>75</v>
      </c>
      <c r="G89" s="1">
        <v>22092.79</v>
      </c>
      <c r="H89" s="1">
        <v>6628.23</v>
      </c>
      <c r="I89" s="1">
        <v>16</v>
      </c>
    </row>
    <row r="90" spans="1:9" x14ac:dyDescent="0.3">
      <c r="A90" s="1" t="s">
        <v>45</v>
      </c>
      <c r="B90" s="1" t="s">
        <v>47</v>
      </c>
      <c r="C90" s="1">
        <v>2024</v>
      </c>
      <c r="D90" s="1" t="s">
        <v>14</v>
      </c>
      <c r="E90" s="1" t="s">
        <v>53</v>
      </c>
      <c r="F90" s="1" t="s">
        <v>76</v>
      </c>
      <c r="G90" s="1">
        <v>25737.3</v>
      </c>
      <c r="H90" s="1">
        <v>6168.29</v>
      </c>
      <c r="I90" s="1">
        <v>12</v>
      </c>
    </row>
    <row r="91" spans="1:9" x14ac:dyDescent="0.3">
      <c r="A91" s="1" t="s">
        <v>23</v>
      </c>
      <c r="B91" s="1" t="s">
        <v>48</v>
      </c>
      <c r="C91" s="1">
        <v>2023</v>
      </c>
      <c r="D91" s="1" t="s">
        <v>16</v>
      </c>
      <c r="E91" s="1" t="s">
        <v>53</v>
      </c>
      <c r="F91" s="1" t="s">
        <v>77</v>
      </c>
      <c r="G91" s="1">
        <v>46260.47</v>
      </c>
      <c r="H91" s="1">
        <v>5795.61</v>
      </c>
      <c r="I91" s="1">
        <v>2</v>
      </c>
    </row>
    <row r="92" spans="1:9" x14ac:dyDescent="0.3">
      <c r="A92" s="1" t="s">
        <v>26</v>
      </c>
      <c r="B92" s="1" t="s">
        <v>50</v>
      </c>
      <c r="C92" s="1">
        <v>2024</v>
      </c>
      <c r="D92" s="1" t="s">
        <v>16</v>
      </c>
      <c r="E92" s="1" t="s">
        <v>54</v>
      </c>
      <c r="F92" s="1" t="s">
        <v>73</v>
      </c>
      <c r="G92" s="1">
        <v>23557.65</v>
      </c>
      <c r="H92" s="1">
        <v>7197.49</v>
      </c>
      <c r="I92" s="1">
        <v>8</v>
      </c>
    </row>
    <row r="93" spans="1:9" x14ac:dyDescent="0.3">
      <c r="A93" s="1" t="s">
        <v>40</v>
      </c>
      <c r="B93" s="1" t="s">
        <v>48</v>
      </c>
      <c r="C93" s="1">
        <v>2023</v>
      </c>
      <c r="D93" s="1" t="s">
        <v>10</v>
      </c>
      <c r="E93" s="1" t="s">
        <v>56</v>
      </c>
      <c r="F93" s="1" t="s">
        <v>74</v>
      </c>
      <c r="G93" s="1">
        <v>25520.43</v>
      </c>
      <c r="H93" s="1">
        <v>-4178.46</v>
      </c>
      <c r="I93" s="1">
        <v>20</v>
      </c>
    </row>
    <row r="94" spans="1:9" x14ac:dyDescent="0.3">
      <c r="A94" s="1" t="s">
        <v>25</v>
      </c>
      <c r="B94" s="1" t="s">
        <v>49</v>
      </c>
      <c r="C94" s="1">
        <v>2024</v>
      </c>
      <c r="D94" s="1" t="s">
        <v>17</v>
      </c>
      <c r="E94" s="1" t="s">
        <v>54</v>
      </c>
      <c r="F94" s="1" t="s">
        <v>75</v>
      </c>
      <c r="G94" s="1">
        <v>29823.96</v>
      </c>
      <c r="H94" s="1">
        <v>-5752.73</v>
      </c>
      <c r="I94" s="1">
        <v>17</v>
      </c>
    </row>
    <row r="95" spans="1:9" x14ac:dyDescent="0.3">
      <c r="A95" s="1" t="s">
        <v>41</v>
      </c>
      <c r="B95" s="1" t="s">
        <v>46</v>
      </c>
      <c r="C95" s="1">
        <v>2023</v>
      </c>
      <c r="D95" s="1" t="s">
        <v>19</v>
      </c>
      <c r="E95" s="1" t="s">
        <v>54</v>
      </c>
      <c r="F95" s="1" t="s">
        <v>75</v>
      </c>
      <c r="G95" s="1">
        <v>41592.07</v>
      </c>
      <c r="H95" s="1">
        <v>8502.24</v>
      </c>
      <c r="I95" s="1">
        <v>6</v>
      </c>
    </row>
    <row r="96" spans="1:9" x14ac:dyDescent="0.3">
      <c r="A96" s="1" t="s">
        <v>42</v>
      </c>
      <c r="B96" s="1" t="s">
        <v>50</v>
      </c>
      <c r="C96" s="1">
        <v>2023</v>
      </c>
      <c r="D96" s="1" t="s">
        <v>9</v>
      </c>
      <c r="E96" s="1" t="s">
        <v>51</v>
      </c>
      <c r="F96" s="1" t="s">
        <v>76</v>
      </c>
      <c r="G96" s="1">
        <v>13636.94</v>
      </c>
      <c r="H96" s="1">
        <v>1580.16</v>
      </c>
      <c r="I96" s="1">
        <v>12</v>
      </c>
    </row>
    <row r="97" spans="1:9" x14ac:dyDescent="0.3">
      <c r="A97" s="1" t="s">
        <v>25</v>
      </c>
      <c r="B97" s="1" t="s">
        <v>49</v>
      </c>
      <c r="C97" s="1">
        <v>2023</v>
      </c>
      <c r="D97" s="1" t="s">
        <v>19</v>
      </c>
      <c r="E97" s="1" t="s">
        <v>58</v>
      </c>
      <c r="F97" s="1" t="s">
        <v>77</v>
      </c>
      <c r="G97" s="1">
        <v>25654.9</v>
      </c>
      <c r="H97" s="1">
        <v>-1387.3</v>
      </c>
      <c r="I97" s="1">
        <v>8</v>
      </c>
    </row>
    <row r="98" spans="1:9" x14ac:dyDescent="0.3">
      <c r="A98" s="1" t="s">
        <v>26</v>
      </c>
      <c r="B98" s="1" t="s">
        <v>50</v>
      </c>
      <c r="C98" s="1">
        <v>2023</v>
      </c>
      <c r="D98" s="1" t="s">
        <v>15</v>
      </c>
      <c r="E98" s="1" t="s">
        <v>52</v>
      </c>
      <c r="F98" s="1" t="s">
        <v>73</v>
      </c>
      <c r="G98" s="1">
        <v>22066.880000000001</v>
      </c>
      <c r="H98" s="1">
        <v>2904.46</v>
      </c>
      <c r="I98" s="1">
        <v>2</v>
      </c>
    </row>
    <row r="99" spans="1:9" x14ac:dyDescent="0.3">
      <c r="A99" s="1" t="s">
        <v>40</v>
      </c>
      <c r="B99" s="1" t="s">
        <v>48</v>
      </c>
      <c r="C99" s="1">
        <v>2023</v>
      </c>
      <c r="D99" s="1" t="s">
        <v>12</v>
      </c>
      <c r="E99" s="1" t="s">
        <v>53</v>
      </c>
      <c r="F99" s="1" t="s">
        <v>74</v>
      </c>
      <c r="G99" s="1">
        <v>34020.83</v>
      </c>
      <c r="H99" s="1">
        <v>-42.11</v>
      </c>
      <c r="I99" s="1">
        <v>4</v>
      </c>
    </row>
    <row r="100" spans="1:9" x14ac:dyDescent="0.3">
      <c r="A100" s="1" t="s">
        <v>28</v>
      </c>
      <c r="B100" s="1" t="s">
        <v>50</v>
      </c>
      <c r="C100" s="1">
        <v>2024</v>
      </c>
      <c r="D100" s="1" t="s">
        <v>16</v>
      </c>
      <c r="E100" s="1" t="s">
        <v>56</v>
      </c>
      <c r="F100" s="1" t="s">
        <v>75</v>
      </c>
      <c r="G100" s="1">
        <v>26397.51</v>
      </c>
      <c r="H100" s="1">
        <v>-4542.03</v>
      </c>
      <c r="I100" s="1">
        <v>3</v>
      </c>
    </row>
    <row r="101" spans="1:9" x14ac:dyDescent="0.3">
      <c r="A101" s="1" t="s">
        <v>43</v>
      </c>
      <c r="B101" s="1" t="s">
        <v>46</v>
      </c>
      <c r="C101" s="1">
        <v>2023</v>
      </c>
      <c r="D101" s="1" t="s">
        <v>19</v>
      </c>
      <c r="E101" s="1" t="s">
        <v>54</v>
      </c>
      <c r="F101" s="1" t="s">
        <v>75</v>
      </c>
      <c r="G101" s="1">
        <v>46794.49</v>
      </c>
      <c r="H101" s="1">
        <v>-529.21</v>
      </c>
      <c r="I101" s="1">
        <v>7</v>
      </c>
    </row>
    <row r="102" spans="1:9" x14ac:dyDescent="0.3">
      <c r="A102" s="1" t="s">
        <v>25</v>
      </c>
      <c r="B102" s="1" t="s">
        <v>49</v>
      </c>
      <c r="C102" s="1">
        <v>2023</v>
      </c>
      <c r="D102" s="1" t="s">
        <v>17</v>
      </c>
      <c r="E102" s="1" t="s">
        <v>60</v>
      </c>
      <c r="F102" s="1" t="s">
        <v>76</v>
      </c>
      <c r="G102" s="1">
        <v>30378.12</v>
      </c>
      <c r="H102" s="1">
        <v>4253.47</v>
      </c>
      <c r="I102" s="1">
        <v>13</v>
      </c>
    </row>
    <row r="103" spans="1:9" x14ac:dyDescent="0.3">
      <c r="A103" s="1" t="s">
        <v>27</v>
      </c>
      <c r="B103" s="1" t="s">
        <v>47</v>
      </c>
      <c r="C103" s="1">
        <v>2024</v>
      </c>
      <c r="D103" s="1" t="s">
        <v>14</v>
      </c>
      <c r="E103" s="1" t="s">
        <v>51</v>
      </c>
      <c r="F103" s="1" t="s">
        <v>77</v>
      </c>
      <c r="G103" s="1">
        <v>27535.68</v>
      </c>
      <c r="H103" s="1">
        <v>10590.06</v>
      </c>
      <c r="I103"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dashboardd</vt: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 Habiba</dc:creator>
  <cp:lastModifiedBy>shaikh habiba</cp:lastModifiedBy>
  <dcterms:created xsi:type="dcterms:W3CDTF">2025-08-13T14:02:38Z</dcterms:created>
  <dcterms:modified xsi:type="dcterms:W3CDTF">2025-08-27T09:03:23Z</dcterms:modified>
</cp:coreProperties>
</file>